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Default ContentType="application/vnd.openxmlformats-officedocument.vmlDrawing" Extension="vml"/>
  <Override ContentType="application/vnd.openxmlformats-officedocument.spreadsheetml.externalLink+xml" PartName="/xl/externalLinks/externalLink1.xml"/>
  <Default ContentType="image/jpeg" Extension="jpeg"/>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5" Type="http://schemas.microsoft.com/office/2006/relationships/ui/userCustomization" Target="userCustomization/customUI.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910" windowHeight="10350" activeTab="3"/>
  </bookViews>
  <sheets>
    <sheet name="QTI_Title_Page" sheetId="1" r:id="rId1"/>
    <sheet name="Rev. History" sheetId="2" r:id="rId2"/>
    <sheet name="User Instructions" sheetId="3" r:id="rId3"/>
    <sheet name="DSI and MDP registers" sheetId="4" r:id="rId4"/>
    <sheet name="DSI PHY timing setting" sheetId="5" r:id="rId5"/>
  </sheets>
  <externalReferences>
    <externalReference r:id="rId11"/>
  </externalReferences>
  <definedNames>
    <definedName name="_xlnm.Print_Area" localSheetId="0">QTI_Title_Page!$A$1:$A$15</definedName>
    <definedName name="_xlnm.Print_Area" localSheetId="1">'Rev. History'!$A$1:$E$9</definedName>
    <definedName name="_xlnm.Print_Area" localSheetId="2">'User Instructions'!$A$1:$P$23</definedName>
    <definedName name="_xlnm.Print_Area" localSheetId="3">'DSI and MDP registers'!$A$1:$AG$101</definedName>
    <definedName name="_xlnm.Print_Area" localSheetId="4">'DSI PHY timing setting'!$A$1:$J$51</definedName>
    <definedName name="strQCTDocumentName" localSheetId="0">QTI_Title_Page!$A$2</definedName>
    <definedName name="strQCTDocumentName">#REF!</definedName>
    <definedName name="vQCTAddress" localSheetId="0">QTI_Title_Page!$A$14</definedName>
    <definedName name="vQCTAddress">#REF!</definedName>
    <definedName name="vQCTCopyright" localSheetId="0">QTI_Title_Page!$A$15</definedName>
    <definedName name="vQCTCopyright">#REF!</definedName>
    <definedName name="vQCTCopyrightHolder" localSheetId="0">QTI_Title_Page!$A$1001</definedName>
    <definedName name="vQCTCopyrightHolder">#REF!</definedName>
    <definedName name="vQCTDistribution1" localSheetId="0">QTI_Title_Page!$A$9</definedName>
    <definedName name="vQCTDistribution1">#REF!</definedName>
    <definedName name="vQCTDistribution2" localSheetId="0">QTI_Title_Page!$A$10</definedName>
    <definedName name="vQCTDistribution2">#REF!</definedName>
    <definedName name="vQCTDistribution3" localSheetId="0">QTI_Title_Page!$A$11</definedName>
    <definedName name="vQCTDistribution3">#REF!</definedName>
    <definedName name="vQCTDistribution4" localSheetId="0">QTI_Title_Page!$A$12</definedName>
    <definedName name="vQCTDistribution4">#REF!</definedName>
    <definedName name="vQCTDocumentDate" localSheetId="0">QTI_Title_Page!$A$5</definedName>
    <definedName name="vQCTDocumentDate">#REF!</definedName>
    <definedName name="vQCTDocumentDCN" localSheetId="0">QTI_Title_Page!$A$4</definedName>
    <definedName name="vQCTDocumentDCN">#REF!</definedName>
    <definedName name="vQCTDocumentName" localSheetId="0">QTI_Title_Page!$A$2</definedName>
    <definedName name="vQCTDocumentName">#REF!</definedName>
    <definedName name="vQCTDocumentType" localSheetId="0">QTI_Title_Page!$A$3</definedName>
    <definedName name="vQCTDocumentType">#REF!</definedName>
    <definedName name="vQCTLogoHolder" localSheetId="0">QTI_Title_Page!$A$1</definedName>
    <definedName name="vQCTLogoHolder">#REF!</definedName>
    <definedName name="vQCTStmtTitle" localSheetId="0">QTI_Title_Page!$A$7</definedName>
    <definedName name="vQCTStmtTitle">#REF!</definedName>
    <definedName name="vQCTSupportInfo" localSheetId="0">QTI_Title_Page!$A$6</definedName>
    <definedName name="vQCTSupportInfo">#REF!</definedName>
    <definedName name="vQTICopyrightHolder" localSheetId="0">QTI_Title_Page!$A$1003</definedName>
    <definedName name="vQTICopyrightHolder">#REF!</definedName>
    <definedName name="vQTIDistribution0.5" localSheetId="0">QTI_Title_Page!$A$8</definedName>
    <definedName name="vQTIDistribution0.5">#REF!</definedName>
    <definedName name="vQTIEntityName" localSheetId="0">QTI_Title_Page!$A$1002</definedName>
    <definedName name="vQTIEntityName">#REF!</definedName>
    <definedName name="vRevisionDate">'Rev. History'!$D$4</definedName>
  </definedNames>
  <calcPr calcId="144525"/>
</workbook>
</file>

<file path=xl/comments1.xml><?xml version="1.0" encoding="utf-8"?>
<comments xmlns="http://schemas.openxmlformats.org/spreadsheetml/2006/main">
  <authors>
    <author>Qualcomm User</author>
  </authors>
  <commentList>
    <comment ref="B22" authorId="0">
      <text>
        <r>
          <rPr>
            <sz val="9"/>
            <color indexed="81"/>
            <rFont val="宋体"/>
            <charset val="134"/>
          </rPr>
          <t xml:space="preserve">Qualcomm User:
Assumes ESCCLK source is PXO.</t>
        </r>
      </text>
    </comment>
    <comment ref="C22" authorId="0">
      <text>
        <r>
          <rPr>
            <sz val="9"/>
            <color indexed="81"/>
            <rFont val="宋体"/>
            <charset val="134"/>
          </rPr>
          <t xml:space="preserve">Qualcomm User:
Example Entries: 1, 1.5, 2, 2.5, … (see SWI for more possible entries)</t>
        </r>
      </text>
    </comment>
    <comment ref="B35" authorId="0">
      <text>
        <r>
          <rPr>
            <sz val="9"/>
            <color indexed="81"/>
            <rFont val="宋体"/>
            <charset val="134"/>
          </rPr>
          <t xml:space="preserve">Arun Ramanathan:
Dot clock overclocking to support required porches.</t>
        </r>
      </text>
    </comment>
  </commentList>
</comments>
</file>

<file path=xl/comments2.xml><?xml version="1.0" encoding="utf-8"?>
<comments xmlns="http://schemas.openxmlformats.org/spreadsheetml/2006/main">
  <authors>
    <author>Qualcomm</author>
  </authors>
  <commentList>
    <comment ref="D8" authorId="0">
      <text>
        <r>
          <rPr>
            <sz val="9"/>
            <color indexed="81"/>
            <rFont val="宋体"/>
            <charset val="134"/>
          </rPr>
          <t xml:space="preserve">Qualcomm:
calculated w.r.t. MIPI requirement between B9:C22 and the max programmable range</t>
        </r>
      </text>
    </comment>
    <comment ref="G8" authorId="0">
      <text>
        <r>
          <rPr>
            <sz val="9"/>
            <color indexed="81"/>
            <rFont val="宋体"/>
            <charset val="134"/>
          </rPr>
          <t xml:space="preserve">Qualcomm:
mid value (F9:F22) is recommended, but user may program any value between  min and max</t>
        </r>
      </text>
    </comment>
    <comment ref="H8" authorId="0">
      <text>
        <r>
          <rPr>
            <sz val="9"/>
            <color indexed="81"/>
            <rFont val="宋体"/>
            <charset val="134"/>
          </rPr>
          <t xml:space="preserve">Qualcomm:
actual period at the DSI link</t>
        </r>
      </text>
    </comment>
    <comment ref="C12" authorId="0">
      <text>
        <r>
          <rPr>
            <sz val="9"/>
            <color indexed="81"/>
            <rFont val="宋体"/>
            <charset val="134"/>
          </rPr>
          <t xml:space="preserve">Qualcomm:
t_clk_trail must be smaller than max t_eot - treot. Treot = 20ns max</t>
        </r>
      </text>
    </comment>
    <comment ref="G14" authorId="0">
      <text>
        <r>
          <rPr>
            <sz val="9"/>
            <color indexed="81"/>
            <rFont val="宋体"/>
            <charset val="134"/>
          </rPr>
          <t xml:space="preserve">Qualcomm:
must be greater than 24
</t>
        </r>
      </text>
    </comment>
    <comment ref="C15" authorId="0">
      <text>
        <r>
          <rPr>
            <sz val="9"/>
            <color indexed="81"/>
            <rFont val="宋体"/>
            <charset val="134"/>
          </rPr>
          <t xml:space="preserve">Qualcomm:
t_hs_trail must be smaller than max t_eot - treot. Treot = 20ns max</t>
        </r>
      </text>
    </comment>
    <comment ref="G16" authorId="0">
      <text>
        <r>
          <rPr>
            <sz val="9"/>
            <color indexed="81"/>
            <rFont val="宋体"/>
            <charset val="134"/>
          </rPr>
          <t xml:space="preserve">Qualcomm:
program this to an integer close to bitclk / escclk </t>
        </r>
      </text>
    </comment>
    <comment ref="H21" authorId="0">
      <text>
        <r>
          <rPr>
            <sz val="9"/>
            <color indexed="81"/>
            <rFont val="宋体"/>
            <charset val="134"/>
          </rPr>
          <t xml:space="preserve">Qualcomm:
teot = t_hs_trail + avg treot.</t>
        </r>
      </text>
    </comment>
    <comment ref="H22" authorId="0">
      <text>
        <r>
          <rPr>
            <sz val="9"/>
            <color indexed="81"/>
            <rFont val="宋体"/>
            <charset val="134"/>
          </rPr>
          <t xml:space="preserve">Qualcomm:
teot = t_clk_trail + avg 
treot.</t>
        </r>
      </text>
    </comment>
    <comment ref="H23" authorId="0">
      <text>
        <r>
          <rPr>
            <sz val="9"/>
            <color indexed="81"/>
            <rFont val="宋体"/>
            <charset val="134"/>
          </rPr>
          <t xml:space="preserve">Qualcomm:
Expected T_clk_post
= (program value + 1) x 8UI + t_hs_exit + 24 UI
</t>
        </r>
      </text>
    </comment>
    <comment ref="H24" authorId="0">
      <text>
        <r>
          <rPr>
            <sz val="9"/>
            <color indexed="81"/>
            <rFont val="宋体"/>
            <charset val="134"/>
          </rPr>
          <t xml:space="preserve">Qualcomm:
Expected T_clk_pre
= (program value + 1) x 8UI – 1 Tlpx – t_clk_prepare – t_clk_zero
</t>
        </r>
      </text>
    </comment>
    <comment ref="F51" authorId="0">
      <text>
        <r>
          <rPr>
            <sz val="9"/>
            <color indexed="81"/>
            <rFont val="宋体"/>
            <charset val="134"/>
          </rPr>
          <t xml:space="preserve">Qualcomm User:
* Fixed 50%
* Changed to 10 to help Tclk_pre not be too large.
* Change to 10 and 40 based data rate, to give Tx-trail more margin to pass</t>
        </r>
      </text>
    </comment>
  </commentList>
</comments>
</file>

<file path=xl/sharedStrings.xml><?xml version="1.0" encoding="utf-8"?>
<sst xmlns="http://schemas.openxmlformats.org/spreadsheetml/2006/main" count="187">
  <si>
    <t>DSI Timing Parameters</t>
  </si>
  <si>
    <t>User Interactive Spreadsheet</t>
  </si>
  <si>
    <t>80-NH713-1 Rev. D</t>
  </si>
  <si>
    <t>July 2, 2014</t>
  </si>
  <si>
    <r>
      <rPr>
        <b/>
        <sz val="12"/>
        <rFont val="Arial"/>
        <charset val="134"/>
      </rPr>
      <t>Submit technical questions to:</t>
    </r>
    <r>
      <rPr>
        <b/>
        <sz val="12"/>
        <color indexed="12"/>
        <rFont val="Arial"/>
        <charset val="134"/>
      </rPr>
      <t xml:space="preserve">
</t>
    </r>
    <r>
      <rPr>
        <b/>
        <u/>
        <sz val="12"/>
        <color indexed="12"/>
        <rFont val="Arial"/>
        <charset val="134"/>
      </rPr>
      <t>https://support.cdmatech.com</t>
    </r>
  </si>
  <si>
    <t>Confidential and Proprietary – Qualcomm Technologies, Inc.</t>
  </si>
  <si>
    <r>
      <rPr>
        <b/>
        <sz val="10"/>
        <rFont val="Times New Roman"/>
        <charset val="134"/>
      </rPr>
      <t>NO PUBLIC DISCLOSURE PERMITTED</t>
    </r>
    <r>
      <rPr>
        <sz val="10"/>
        <rFont val="Times New Roman"/>
        <charset val="134"/>
      </rPr>
      <t xml:space="preserve">: Please report postings of this document on public servers or websites to: </t>
    </r>
    <r>
      <rPr>
        <u/>
        <sz val="10"/>
        <color indexed="12"/>
        <rFont val="Times New Roman"/>
        <charset val="134"/>
      </rPr>
      <t>DocCtrlAgent@qualcomm.com</t>
    </r>
    <r>
      <rPr>
        <sz val="10"/>
        <rFont val="Times New Roman"/>
        <charset val="134"/>
      </rPr>
      <t xml:space="preserve"> </t>
    </r>
  </si>
  <si>
    <r>
      <rPr>
        <b/>
        <sz val="10"/>
        <rFont val="Times New Roman"/>
        <charset val="134"/>
      </rPr>
      <t xml:space="preserve">Restricted Distribution: </t>
    </r>
    <r>
      <rPr>
        <sz val="10"/>
        <rFont val="Times New Roman"/>
        <charset val="134"/>
      </rPr>
      <t>Not to be distributed to anyone who is not an employee of either Qualcomm or its subsidiaries without the express approval of Qualcomm's Configuration Management.</t>
    </r>
  </si>
  <si>
    <t>Not to be used, copied, reproduced, or modified in whole or in part, nor its contents revealed in any manner to others without the express written permission of Qualcomm Technologies, Inc.</t>
  </si>
  <si>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</si>
  <si>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This technical data may be subject to U.S. and international export, re-export, or transfer (“export”) laws. Diversion contrary to U.S. and international law is strictly prohibited.</t>
  </si>
  <si>
    <t>Qualcomm Technologies, Inc.
5775 Morehouse Drive
San Diego, CA 92121
U.S.A.</t>
  </si>
  <si>
    <t xml:space="preserve"> © 2013-2014 Qualcomm Technologies, Inc.</t>
  </si>
  <si>
    <t>2012</t>
  </si>
  <si>
    <t>Qualcomm Technologies, Incorporated</t>
  </si>
  <si>
    <t>Revision history</t>
  </si>
  <si>
    <t>Revision</t>
  </si>
  <si>
    <t>Date</t>
  </si>
  <si>
    <t>Description</t>
  </si>
  <si>
    <t>A</t>
  </si>
  <si>
    <t>Initial release</t>
  </si>
  <si>
    <t>B</t>
  </si>
  <si>
    <t>August 2013</t>
  </si>
  <si>
    <t>Updated colors</t>
  </si>
  <si>
    <t>C</t>
  </si>
  <si>
    <t>October 2013</t>
  </si>
  <si>
    <t xml:space="preserve">Fixed wrong Macro of DSI PHY timing register setting in "DSI and MDP registers" Tab </t>
  </si>
  <si>
    <t>D</t>
  </si>
  <si>
    <t>July  2014</t>
  </si>
  <si>
    <t>Added 8994 and 8992 to applicable chipset in "User Instructions" Tab</t>
  </si>
  <si>
    <t>Instructions</t>
  </si>
  <si>
    <t>This calculator is only applicable for the following chips:</t>
  </si>
  <si>
    <t>8x26</t>
  </si>
  <si>
    <t>8x16</t>
  </si>
  <si>
    <t>8x62</t>
  </si>
  <si>
    <t>DSI and MDP registers</t>
  </si>
  <si>
    <t>1.</t>
  </si>
  <si>
    <t>Enter the DSI video prameters on the "DSI and MDP Registers" worksheet.</t>
  </si>
  <si>
    <t>2.</t>
  </si>
  <si>
    <t>Click the "DSI Timing Program" tab from the ribbon if not already active.</t>
  </si>
  <si>
    <t>3.</t>
  </si>
  <si>
    <t>Click the "Check" button from the "DSI Timining Program" ribbon.</t>
  </si>
  <si>
    <t>DSI PHY timing settings</t>
  </si>
  <si>
    <t>Specify desired data rate (entered manually in cell B3 on the "DSI PHY Timing Settings" worksheet or from the  "DSI and MDP registers" worksheet's calculation.</t>
  </si>
  <si>
    <t>Click "Reset" from the "DSI Timing Program" ribbon</t>
  </si>
  <si>
    <t>Click "Validate" to validate T_CLK_ZERO.  Cell G4 on the "DSI PHY Timing Settings" worksheet should state "VALID" after performing this step.</t>
  </si>
  <si>
    <t>Tool Requirments</t>
  </si>
  <si>
    <t>Use Excel 2010 for proper macro operation.</t>
  </si>
  <si>
    <t>Enter requirements (Enter values in blue)</t>
  </si>
  <si>
    <t>frame rate</t>
  </si>
  <si>
    <t>frame per sec</t>
  </si>
  <si>
    <t>lane config</t>
  </si>
  <si>
    <t>lanes</t>
  </si>
  <si>
    <t>pixel format BPP</t>
  </si>
  <si>
    <t>bytes/pixel</t>
  </si>
  <si>
    <t>Display Width</t>
  </si>
  <si>
    <t>pixels</t>
  </si>
  <si>
    <t>(including reqd. border fill)</t>
  </si>
  <si>
    <t>Display Height</t>
  </si>
  <si>
    <t>lines</t>
  </si>
  <si>
    <t>Active Width</t>
  </si>
  <si>
    <t>(active image region)</t>
  </si>
  <si>
    <t>Active Height</t>
  </si>
  <si>
    <t>Hsync Pulse Width</t>
  </si>
  <si>
    <t>pclks</t>
  </si>
  <si>
    <t>ok</t>
  </si>
  <si>
    <t>Hori. Back Porch</t>
  </si>
  <si>
    <t>Hori. Back Porch + hsync pulse width</t>
  </si>
  <si>
    <t>Hori. Front Porch</t>
  </si>
  <si>
    <t>Vsync Pulse Width</t>
  </si>
  <si>
    <t>Vert. Back Porch</t>
  </si>
  <si>
    <t>Vert. Back Porch + Vsync pulse width</t>
  </si>
  <si>
    <t>Vert. Front Porch</t>
  </si>
  <si>
    <t>Escclk source (mxo = 27MHz or pxo = 24MHz)</t>
  </si>
  <si>
    <t>MHz</t>
  </si>
  <si>
    <t>MMSS_CC ESCCLK PREDIV</t>
  </si>
  <si>
    <t>To run macro that verifies the video parameters with respect to the DSI video programming rules, press Ctrl-L</t>
  </si>
  <si>
    <t>Check done!</t>
  </si>
  <si>
    <t>MDP REGISTER PROGRAMMING</t>
  </si>
  <si>
    <t>Hsync period</t>
  </si>
  <si>
    <t>dclks/line</t>
  </si>
  <si>
    <t>Vsync period</t>
  </si>
  <si>
    <t>lines/frame</t>
  </si>
  <si>
    <t>Dot clock overhead (blanking %)</t>
  </si>
  <si>
    <t>Register Name</t>
  </si>
  <si>
    <t>Data (in hex)</t>
  </si>
  <si>
    <t>MDP_DSI_VIDEO_HSYNC_CTL</t>
  </si>
  <si>
    <t>MDP_DSI_VIDEO_VSYNC_PERIOD</t>
  </si>
  <si>
    <t>MDP_DSI_VIDEO_VSYNC_PULSE_WIDTH</t>
  </si>
  <si>
    <t>MDP_DSI_VIDEO_DISPLAY_HCTL</t>
  </si>
  <si>
    <t>MDP_DSI_VIDEO_DISPLAY_V_START</t>
  </si>
  <si>
    <t>MDP_DSI_VIDEO_DISPLAY_V_END</t>
  </si>
  <si>
    <t>MDP_DSI_VIDEO_ACTIVE_HCTL</t>
  </si>
  <si>
    <t>Active region auto centered within display region</t>
  </si>
  <si>
    <t>MDP_DSI_VIDEO_ACTIVE_V_START</t>
  </si>
  <si>
    <t>MDP_DSI_VIDEO_ACTIVE_V_END</t>
  </si>
  <si>
    <t>DSI VIDEO MODE REGISTER SETTINGS</t>
  </si>
  <si>
    <t>dec</t>
  </si>
  <si>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</si>
  <si>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</si>
  <si>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</si>
  <si>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</si>
  <si>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</si>
  <si>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</si>
  <si>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</si>
  <si>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</si>
  <si>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</si>
  <si>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</si>
  <si>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</si>
  <si>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</si>
  <si>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 xml:space="preserve">DSI_VIDEO_MODE_ACTIVE_H </t>
  </si>
  <si>
    <t>DSI_VIDEO_MODE_ACTIVE_V</t>
  </si>
  <si>
    <t>DSI_VIDEO_MODE_TOTAL</t>
  </si>
  <si>
    <t>DSI_VIDEO_MODE_HSYNC</t>
  </si>
  <si>
    <t>DSI_VIDEO_MODE_VSYNC</t>
  </si>
  <si>
    <t>DSI_VIDEO_MODE_VSYNC_VPOS</t>
  </si>
  <si>
    <t>DSI PHY TIMING REGISTER SETTINGS</t>
  </si>
  <si>
    <t>Clocks</t>
  </si>
  <si>
    <t>bitclk (desired frequency)</t>
  </si>
  <si>
    <t>byteclk (actual frequency)</t>
  </si>
  <si>
    <t>dsiclk (actual frequency)</t>
  </si>
  <si>
    <t>pclk (actual frequency)</t>
  </si>
  <si>
    <t>Miscellaneous calculation</t>
  </si>
  <si>
    <t>Blanking %</t>
  </si>
  <si>
    <t>%</t>
  </si>
  <si>
    <t>line time</t>
  </si>
  <si>
    <t>µs</t>
  </si>
  <si>
    <t>HBP + hsync time</t>
  </si>
  <si>
    <t>HACT time</t>
  </si>
  <si>
    <t>HFP time</t>
  </si>
  <si>
    <t>1. PHY Timing parameters calculated from bitclk calculated in "dsi and mdp registers" and escclk source set in "dsi and mdp registers"</t>
  </si>
  <si>
    <t>(User may overwrite the values in blue)</t>
  </si>
  <si>
    <t>Full Rate Bitclk</t>
  </si>
  <si>
    <t>Mbps</t>
  </si>
  <si>
    <t>escclk</t>
  </si>
  <si>
    <t>Check for T_CLK_ZERO</t>
  </si>
  <si>
    <t>UI</t>
  </si>
  <si>
    <t>ns</t>
  </si>
  <si>
    <t>Tlpx</t>
  </si>
  <si>
    <t>Treot</t>
  </si>
  <si>
    <t>MIPI PHY v1.1 requirement</t>
  </si>
  <si>
    <t>Recommended register settings (dec)</t>
  </si>
  <si>
    <t>program value</t>
  </si>
  <si>
    <t>actual value (ns)</t>
  </si>
  <si>
    <t>min (ns)</t>
  </si>
  <si>
    <t>max (ns)</t>
  </si>
  <si>
    <t>min</t>
  </si>
  <si>
    <t>max</t>
  </si>
  <si>
    <t>(hardwired to PHY inputs)</t>
  </si>
  <si>
    <t>T_CLK_PREPARE</t>
  </si>
  <si>
    <t>T_CLK_ZERO</t>
  </si>
  <si>
    <t>T_CLK_TRAIL</t>
  </si>
  <si>
    <t>T_HS_PREPARE</t>
  </si>
  <si>
    <t>T_HS_ZERO</t>
  </si>
  <si>
    <t>T_HS_TRAIL</t>
  </si>
  <si>
    <t>T_HS_RQST</t>
  </si>
  <si>
    <t>T_HS_EXIT</t>
  </si>
  <si>
    <t>T_TA_GO</t>
  </si>
  <si>
    <t>T_TA_SURE</t>
  </si>
  <si>
    <t>T_TA_GET</t>
  </si>
  <si>
    <t>TEOT of data lane</t>
  </si>
  <si>
    <t>TEOT of clock lane</t>
  </si>
  <si>
    <t>T_CLK_POST</t>
  </si>
  <si>
    <t>T_CLK_PRE</t>
  </si>
  <si>
    <t>overhead in data transmission</t>
  </si>
  <si>
    <t>2. DSI PHY registers</t>
  </si>
  <si>
    <t>PHY Registers</t>
  </si>
  <si>
    <t>value in hex</t>
  </si>
  <si>
    <t>DSIPHY_TIMING_CTRL_0</t>
  </si>
  <si>
    <t>DSIPHY_TIMING_CTRL_1</t>
  </si>
  <si>
    <t>DSIPHY_TIMING_CTRL_2</t>
  </si>
  <si>
    <t xml:space="preserve">DSIPHY_TIMING_CTRL_3 </t>
  </si>
  <si>
    <t>DSIPHY_TIMING_CTRL_4</t>
  </si>
  <si>
    <t>DSIPHY_TIMING_CTRL_5</t>
  </si>
  <si>
    <t>`</t>
  </si>
  <si>
    <t>DSIPHY_TIMING_CTRL_6</t>
  </si>
  <si>
    <t>DSIPHY_TIMING_CTRL_7</t>
  </si>
  <si>
    <t>DSIPHY_TIMING_CTRL_8</t>
  </si>
  <si>
    <t>DSIPHY_TIMING_CTRL_9</t>
  </si>
  <si>
    <t>DSIPHY_TIMING_CTRL_10</t>
  </si>
  <si>
    <t>3. DSI Registers (address)</t>
  </si>
  <si>
    <t>DSI_CLKOUT_TIMING_CTRL</t>
  </si>
  <si>
    <t xml:space="preserve">DSI_TEST_PATTERN_GEN_VIDEO_ENABLE </t>
  </si>
  <si>
    <t>% from min Tclk-prepare =</t>
  </si>
  <si>
    <t>% from min Ths-prepare =</t>
  </si>
  <si>
    <t>% from min (parameters w/ no max) =</t>
  </si>
  <si>
    <t>% within allowable PHY timing range =</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</si>
</sst>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00000"/>
    <numFmt numFmtId="177" formatCode="[$-409]d\-mmm\-yy;@"/>
    <numFmt numFmtId="178" formatCode="mmmm\ yyyy"/>
    <numFmt numFmtId="179" formatCode="[$-409]mmmm\ d\,\ yyyy;@"/>
  </numFmts>
  <fonts count="43">
    <font>
      <sz val="10"/>
      <color indexed="8"/>
      <name val="Arial"/>
      <charset val="134"/>
    </font>
    <font>
      <b/>
      <sz val="10"/>
      <color indexed="8"/>
      <name val="Arial"/>
      <charset val="134"/>
    </font>
    <font>
      <b/>
      <sz val="14"/>
      <color indexed="8"/>
      <name val="Arial"/>
      <charset val="134"/>
    </font>
    <font>
      <sz val="10"/>
      <name val="Arial"/>
      <charset val="134"/>
    </font>
    <font>
      <b/>
      <sz val="10"/>
      <name val="Arial"/>
      <charset val="134"/>
    </font>
    <font>
      <b/>
      <sz val="10"/>
      <color indexed="30"/>
      <name val="Arial"/>
      <charset val="134"/>
    </font>
    <font>
      <b/>
      <sz val="10"/>
      <color indexed="10"/>
      <name val="Arial"/>
      <charset val="134"/>
    </font>
    <font>
      <b/>
      <sz val="14"/>
      <name val="Arial"/>
      <charset val="134"/>
    </font>
    <font>
      <sz val="20"/>
      <color indexed="8"/>
      <name val="Arial"/>
      <charset val="134"/>
    </font>
    <font>
      <b/>
      <sz val="20"/>
      <color indexed="62"/>
      <name val="Arial"/>
      <charset val="134"/>
    </font>
    <font>
      <sz val="20"/>
      <color indexed="62"/>
      <name val="Arial"/>
      <charset val="134"/>
    </font>
    <font>
      <sz val="20"/>
      <color indexed="8"/>
      <name val="Calibri"/>
      <charset val="134"/>
    </font>
    <font>
      <i/>
      <sz val="20"/>
      <name val="Arial"/>
      <charset val="134"/>
    </font>
    <font>
      <sz val="20"/>
      <color indexed="17"/>
      <name val="Arial"/>
      <charset val="134"/>
    </font>
    <font>
      <sz val="20"/>
      <color indexed="10"/>
      <name val="Arial"/>
      <charset val="134"/>
    </font>
    <font>
      <b/>
      <sz val="20"/>
      <color indexed="30"/>
      <name val="Arial"/>
      <charset val="134"/>
    </font>
    <font>
      <b/>
      <sz val="20"/>
      <color indexed="12"/>
      <name val="Arial"/>
      <charset val="134"/>
    </font>
    <font>
      <sz val="20"/>
      <color indexed="23"/>
      <name val="Arial"/>
      <charset val="134"/>
    </font>
    <font>
      <b/>
      <sz val="20"/>
      <name val="Arial"/>
      <charset val="134"/>
    </font>
    <font>
      <b/>
      <sz val="20"/>
      <color indexed="8"/>
      <name val="Arial"/>
      <charset val="134"/>
    </font>
    <font>
      <sz val="20"/>
      <name val="Arial"/>
      <charset val="134"/>
    </font>
    <font>
      <b/>
      <sz val="20"/>
      <color indexed="22"/>
      <name val="Arial"/>
      <charset val="134"/>
    </font>
    <font>
      <sz val="20"/>
      <color indexed="22"/>
      <name val="Arial"/>
      <charset val="134"/>
    </font>
    <font>
      <sz val="20"/>
      <color indexed="30"/>
      <name val="Arial"/>
      <charset val="134"/>
    </font>
    <font>
      <b/>
      <sz val="20"/>
      <color indexed="23"/>
      <name val="Arial"/>
      <charset val="134"/>
    </font>
    <font>
      <b/>
      <sz val="16"/>
      <name val="Arial"/>
      <charset val="134"/>
    </font>
    <font>
      <b/>
      <sz val="9"/>
      <name val="Arial"/>
      <charset val="134"/>
    </font>
    <font>
      <sz val="9"/>
      <name val="Arial"/>
      <charset val="134"/>
    </font>
    <font>
      <b/>
      <i/>
      <sz val="24"/>
      <name val="Arial"/>
      <charset val="134"/>
    </font>
    <font>
      <b/>
      <i/>
      <sz val="16"/>
      <name val="Arial"/>
      <charset val="134"/>
    </font>
    <font>
      <b/>
      <i/>
      <sz val="12"/>
      <name val="Arial"/>
      <charset val="134"/>
    </font>
    <font>
      <b/>
      <sz val="12"/>
      <name val="Arial"/>
      <charset val="134"/>
    </font>
    <font>
      <b/>
      <sz val="11"/>
      <name val="Arial"/>
      <charset val="134"/>
    </font>
    <font>
      <sz val="10"/>
      <name val="Times New Roman"/>
      <charset val="134"/>
    </font>
    <font>
      <b/>
      <sz val="10"/>
      <name val="Times New Roman"/>
      <charset val="134"/>
    </font>
    <font>
      <sz val="10"/>
      <color indexed="9"/>
      <name val="Arial"/>
      <charset val="134"/>
    </font>
    <font>
      <sz val="12"/>
      <name val="宋体"/>
      <charset val="134"/>
    </font>
    <font>
      <sz val="11"/>
      <color indexed="8"/>
      <name val="宋体"/>
      <charset val="134"/>
    </font>
    <font>
      <sz val="10"/>
      <color indexed="17"/>
      <name val="Arial"/>
      <charset val="134"/>
    </font>
    <font>
      <u/>
      <sz val="10"/>
      <color indexed="12"/>
      <name val="Arial"/>
      <charset val="134"/>
    </font>
    <font>
      <b/>
      <sz val="12"/>
      <color indexed="12"/>
      <name val="Arial"/>
      <charset val="134"/>
    </font>
    <font>
      <b/>
      <u/>
      <sz val="12"/>
      <color indexed="12"/>
      <name val="Arial"/>
      <charset val="134"/>
    </font>
    <font>
      <u/>
      <sz val="10"/>
      <color indexed="12"/>
      <name val="Times New Roman"/>
      <charset val="134"/>
    </font>
  </fonts>
  <fills count="6">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bottom style="thin">
        <color indexed="64"/>
      </bottom>
      <diagonal/>
    </border>
  </borders>
  <cellStyleXfs count="95">
    <xf numFmtId="0" fontId="0" fillId="0" borderId="0">
      <alignment vertical="center"/>
    </xf>
    <xf numFmtId="43" fontId="36" fillId="0" borderId="0" applyFont="0" applyFill="0" applyBorder="0" applyAlignment="0" applyProtection="0">
      <alignment vertical="center"/>
    </xf>
    <xf numFmtId="177" fontId="3" fillId="0" borderId="0">
      <alignment vertical="center"/>
    </xf>
    <xf numFmtId="177" fontId="3" fillId="0" borderId="0">
      <alignment vertical="center"/>
    </xf>
    <xf numFmtId="0" fontId="37" fillId="0" borderId="0">
      <alignment vertical="center"/>
    </xf>
    <xf numFmtId="44" fontId="36" fillId="0" borderId="0" applyFont="0" applyFill="0" applyBorder="0" applyAlignment="0" applyProtection="0">
      <alignment vertical="center"/>
    </xf>
    <xf numFmtId="177" fontId="3" fillId="0" borderId="0">
      <alignment vertical="center"/>
    </xf>
    <xf numFmtId="177" fontId="3" fillId="0" borderId="0">
      <alignment vertical="center"/>
    </xf>
    <xf numFmtId="41" fontId="36" fillId="0" borderId="0" applyFont="0" applyFill="0" applyBorder="0" applyAlignment="0" applyProtection="0">
      <alignment vertical="center"/>
    </xf>
    <xf numFmtId="177" fontId="3" fillId="0" borderId="0">
      <alignment vertical="center"/>
    </xf>
    <xf numFmtId="177" fontId="3" fillId="0" borderId="0">
      <alignment vertical="center"/>
    </xf>
    <xf numFmtId="9" fontId="36" fillId="0" borderId="0" applyFont="0" applyFill="0" applyBorder="0" applyAlignment="0" applyProtection="0">
      <alignment vertical="center"/>
    </xf>
    <xf numFmtId="42" fontId="36" fillId="0" borderId="0" applyFont="0" applyFill="0" applyBorder="0" applyAlignment="0" applyProtection="0">
      <alignment vertical="center"/>
    </xf>
    <xf numFmtId="0" fontId="38" fillId="5" borderId="0" applyNumberFormat="0" applyBorder="0" applyAlignment="0" applyProtection="0">
      <alignment vertical="center"/>
    </xf>
    <xf numFmtId="0" fontId="37" fillId="0" borderId="0">
      <alignment vertical="center"/>
    </xf>
    <xf numFmtId="0" fontId="37" fillId="0" borderId="0">
      <alignment vertical="center"/>
    </xf>
    <xf numFmtId="177" fontId="3" fillId="0" borderId="0">
      <alignment vertical="center"/>
    </xf>
    <xf numFmtId="177" fontId="3" fillId="0" borderId="0">
      <alignment vertical="center"/>
    </xf>
    <xf numFmtId="0" fontId="3" fillId="0" borderId="0">
      <alignment vertical="center"/>
    </xf>
    <xf numFmtId="0" fontId="3" fillId="0" borderId="0">
      <alignment vertical="center"/>
    </xf>
    <xf numFmtId="177" fontId="0"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0"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177" fontId="3" fillId="0" borderId="0">
      <alignment vertical="center"/>
    </xf>
    <xf numFmtId="0" fontId="0" fillId="0" borderId="0">
      <alignment vertical="center"/>
    </xf>
    <xf numFmtId="0" fontId="0" fillId="0" borderId="0">
      <alignment vertical="center"/>
    </xf>
    <xf numFmtId="0" fontId="0" fillId="0" borderId="0">
      <alignment vertical="center"/>
    </xf>
    <xf numFmtId="177" fontId="3" fillId="0" borderId="0">
      <alignment vertical="center"/>
    </xf>
    <xf numFmtId="0" fontId="37" fillId="0" borderId="0">
      <alignment vertical="center"/>
    </xf>
    <xf numFmtId="0" fontId="37" fillId="0" borderId="0">
      <alignment vertical="center"/>
    </xf>
    <xf numFmtId="177" fontId="0" fillId="0" borderId="0">
      <alignment vertical="center"/>
    </xf>
    <xf numFmtId="177" fontId="0" fillId="0" borderId="0">
      <alignment vertical="center"/>
    </xf>
    <xf numFmtId="0" fontId="37" fillId="0" borderId="0">
      <alignment vertical="center"/>
    </xf>
    <xf numFmtId="0" fontId="39" fillId="0" borderId="0" applyNumberFormat="0" applyFill="0" applyBorder="0" applyAlignment="0" applyProtection="0">
      <alignment vertical="top"/>
      <protection locked="0"/>
    </xf>
    <xf numFmtId="177" fontId="0" fillId="0" borderId="0">
      <alignment vertical="center"/>
    </xf>
    <xf numFmtId="0" fontId="37" fillId="0" borderId="0">
      <alignment vertical="center"/>
    </xf>
    <xf numFmtId="0" fontId="37" fillId="0" borderId="0">
      <alignment vertical="center"/>
    </xf>
    <xf numFmtId="177" fontId="0" fillId="0" borderId="0">
      <alignment vertical="center"/>
    </xf>
    <xf numFmtId="177" fontId="0" fillId="0" borderId="0">
      <alignment vertical="center"/>
    </xf>
    <xf numFmtId="177" fontId="0" fillId="0" borderId="0">
      <alignment vertical="center"/>
    </xf>
    <xf numFmtId="0" fontId="37" fillId="0" borderId="0">
      <alignment vertical="center"/>
    </xf>
    <xf numFmtId="0" fontId="37" fillId="0" borderId="0">
      <alignment vertical="center"/>
    </xf>
    <xf numFmtId="177" fontId="3" fillId="0" borderId="0">
      <alignment vertical="center"/>
    </xf>
    <xf numFmtId="177" fontId="3" fillId="0" borderId="0">
      <alignment vertical="center"/>
    </xf>
  </cellStyleXfs>
  <cellXfs count="113">
    <xf numFmtId="0" fontId="0" fillId="0" borderId="0" xfId="0" applyAlignment="1"/>
    <xf numFmtId="0" fontId="1" fillId="0" borderId="0" xfId="0" applyFont="1" applyAlignment="1"/>
    <xf numFmtId="0" fontId="2" fillId="0" borderId="0" xfId="0" applyFont="1" applyAlignment="1"/>
    <xf numFmtId="0" fontId="2" fillId="2" borderId="0" xfId="0" applyFont="1" applyFill="1" applyAlignment="1"/>
    <xf numFmtId="0" fontId="0" fillId="2" borderId="0" xfId="0" applyFill="1" applyAlignment="1"/>
    <xf numFmtId="2" fontId="0" fillId="0" borderId="0" xfId="0" applyNumberFormat="1" applyAlignment="1"/>
    <xf numFmtId="0" fontId="1" fillId="3" borderId="1" xfId="0" applyFont="1" applyFill="1" applyBorder="1" applyAlignment="1"/>
    <xf numFmtId="2" fontId="3" fillId="4" borderId="1" xfId="0" applyNumberFormat="1" applyFont="1" applyFill="1" applyBorder="1" applyAlignment="1">
      <alignment horizontal="center"/>
    </xf>
    <xf numFmtId="0" fontId="3" fillId="4" borderId="1" xfId="0" applyFont="1" applyFill="1" applyBorder="1" applyAlignment="1">
      <alignment horizontal="center"/>
    </xf>
    <xf numFmtId="0" fontId="1" fillId="0" borderId="1" xfId="0" applyFont="1" applyBorder="1" applyAlignment="1"/>
    <xf numFmtId="0" fontId="0" fillId="0" borderId="1" xfId="0" applyBorder="1" applyAlignment="1"/>
    <xf numFmtId="0" fontId="1" fillId="0" borderId="1" xfId="0" applyFont="1" applyBorder="1" applyAlignment="1">
      <alignment horizontal="center"/>
    </xf>
    <xf numFmtId="0" fontId="0" fillId="0" borderId="1" xfId="0" applyNumberFormat="1" applyBorder="1" applyAlignment="1">
      <alignment horizontal="center"/>
    </xf>
    <xf numFmtId="0" fontId="0" fillId="0" borderId="1" xfId="0" applyBorder="1" applyAlignment="1">
      <alignment horizontal="center"/>
    </xf>
    <xf numFmtId="0" fontId="3" fillId="3" borderId="1" xfId="0" applyFont="1" applyFill="1" applyBorder="1" applyAlignment="1"/>
    <xf numFmtId="0" fontId="1" fillId="3" borderId="2" xfId="0" applyFont="1" applyFill="1" applyBorder="1" applyAlignment="1">
      <alignment horizontal="center" vertical="center"/>
    </xf>
    <xf numFmtId="0" fontId="0" fillId="3" borderId="1" xfId="0" applyFill="1" applyBorder="1" applyAlignment="1">
      <alignment horizontal="center" vertical="center"/>
    </xf>
    <xf numFmtId="0" fontId="1" fillId="3" borderId="1" xfId="0" applyFont="1" applyFill="1" applyBorder="1" applyAlignment="1">
      <alignment horizontal="center"/>
    </xf>
    <xf numFmtId="0" fontId="4" fillId="3" borderId="1" xfId="0" applyFont="1" applyFill="1" applyBorder="1" applyAlignment="1">
      <alignment horizontal="center" vertical="center"/>
    </xf>
    <xf numFmtId="0" fontId="4" fillId="3" borderId="1" xfId="0" applyFont="1" applyFill="1" applyBorder="1" applyAlignment="1"/>
    <xf numFmtId="0" fontId="1" fillId="3" borderId="3" xfId="0" applyFont="1" applyFill="1" applyBorder="1" applyAlignment="1">
      <alignment horizontal="center" vertical="center"/>
    </xf>
    <xf numFmtId="0" fontId="1" fillId="3" borderId="1" xfId="0" applyFont="1" applyFill="1" applyBorder="1" applyAlignment="1">
      <alignment horizontal="center" vertical="center"/>
    </xf>
    <xf numFmtId="9" fontId="1" fillId="3" borderId="1" xfId="0" applyNumberFormat="1" applyFont="1" applyFill="1" applyBorder="1" applyAlignment="1">
      <alignment horizontal="center"/>
    </xf>
    <xf numFmtId="0" fontId="0" fillId="0" borderId="1" xfId="0" applyBorder="1" applyAlignment="1">
      <alignment horizontal="center" vertical="center"/>
    </xf>
    <xf numFmtId="0" fontId="1" fillId="0" borderId="3" xfId="0" applyFont="1" applyBorder="1" applyAlignment="1">
      <alignment horizontal="center"/>
    </xf>
    <xf numFmtId="0" fontId="5" fillId="0" borderId="1" xfId="0" applyFont="1" applyBorder="1" applyAlignment="1">
      <alignment horizontal="center"/>
    </xf>
    <xf numFmtId="0" fontId="0" fillId="0" borderId="1" xfId="0" applyFont="1" applyBorder="1" applyAlignment="1">
      <alignment horizontal="center"/>
    </xf>
    <xf numFmtId="0" fontId="6" fillId="0" borderId="1" xfId="0" applyFont="1" applyBorder="1" applyAlignment="1">
      <alignment horizontal="center"/>
    </xf>
    <xf numFmtId="0" fontId="6"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7" fillId="0" borderId="1" xfId="0" applyFont="1" applyBorder="1" applyAlignment="1"/>
    <xf numFmtId="0" fontId="0" fillId="0" borderId="0" xfId="0" applyAlignment="1">
      <alignment horizontal="left"/>
    </xf>
    <xf numFmtId="0" fontId="0" fillId="0" borderId="1" xfId="0" applyBorder="1" applyAlignment="1">
      <alignment horizontal="left"/>
    </xf>
    <xf numFmtId="0" fontId="7" fillId="3" borderId="1" xfId="0" applyFont="1" applyFill="1" applyBorder="1" applyAlignment="1"/>
    <xf numFmtId="0" fontId="0" fillId="0" borderId="0" xfId="0" applyAlignment="1">
      <alignment horizontal="right"/>
    </xf>
    <xf numFmtId="0" fontId="0" fillId="0" borderId="0" xfId="0" applyFill="1" applyAlignment="1"/>
    <xf numFmtId="0" fontId="8" fillId="0" borderId="0" xfId="0" applyFont="1" applyAlignment="1"/>
    <xf numFmtId="0" fontId="9" fillId="2" borderId="0" xfId="0" applyFont="1" applyFill="1" applyAlignment="1"/>
    <xf numFmtId="0" fontId="10" fillId="0" borderId="0" xfId="0" applyFont="1" applyAlignment="1"/>
    <xf numFmtId="0" fontId="10" fillId="0" borderId="0" xfId="0" applyFont="1" applyAlignment="1">
      <alignment horizontal="right"/>
    </xf>
    <xf numFmtId="0" fontId="11" fillId="0" borderId="0" xfId="0" applyFont="1" applyAlignment="1"/>
    <xf numFmtId="0" fontId="8" fillId="0" borderId="0" xfId="0" applyFont="1" applyAlignment="1">
      <alignment horizontal="right"/>
    </xf>
    <xf numFmtId="0" fontId="12" fillId="0" borderId="0" xfId="0" applyFont="1" applyAlignment="1"/>
    <xf numFmtId="0" fontId="13" fillId="0" borderId="0" xfId="0" applyFont="1" applyAlignment="1"/>
    <xf numFmtId="0" fontId="14" fillId="0" borderId="0" xfId="0" applyFont="1" applyAlignment="1"/>
    <xf numFmtId="0" fontId="15" fillId="2" borderId="0" xfId="0" applyFont="1" applyFill="1" applyAlignment="1"/>
    <xf numFmtId="0" fontId="14" fillId="2" borderId="0" xfId="0" applyFont="1" applyFill="1" applyAlignment="1"/>
    <xf numFmtId="0" fontId="12" fillId="2" borderId="0" xfId="0" applyFont="1" applyFill="1" applyAlignment="1"/>
    <xf numFmtId="0" fontId="8" fillId="2" borderId="0" xfId="0" applyFont="1" applyFill="1" applyAlignment="1"/>
    <xf numFmtId="0" fontId="13" fillId="2" borderId="0" xfId="0" applyFont="1" applyFill="1" applyAlignment="1"/>
    <xf numFmtId="0" fontId="15" fillId="0" borderId="0" xfId="0" applyFont="1" applyAlignment="1"/>
    <xf numFmtId="0" fontId="16" fillId="0" borderId="0" xfId="0" applyFont="1" applyAlignment="1"/>
    <xf numFmtId="0" fontId="17" fillId="0" borderId="0" xfId="0" applyFont="1" applyAlignment="1"/>
    <xf numFmtId="2" fontId="17" fillId="0" borderId="0" xfId="0" applyNumberFormat="1" applyFont="1" applyAlignment="1"/>
    <xf numFmtId="0" fontId="18" fillId="0" borderId="0" xfId="0" applyFont="1" applyAlignment="1">
      <alignment horizontal="center"/>
    </xf>
    <xf numFmtId="0" fontId="19" fillId="0" borderId="0" xfId="0" applyFont="1" applyAlignment="1"/>
    <xf numFmtId="176" fontId="20" fillId="0" borderId="0" xfId="0" applyNumberFormat="1" applyFont="1" applyAlignment="1">
      <alignment horizontal="right"/>
    </xf>
    <xf numFmtId="0" fontId="20" fillId="0" borderId="0" xfId="0" applyFont="1" applyAlignment="1">
      <alignment horizontal="right"/>
    </xf>
    <xf numFmtId="0" fontId="20" fillId="0" borderId="0" xfId="0" applyFont="1" applyAlignment="1">
      <alignment wrapText="1"/>
    </xf>
    <xf numFmtId="0" fontId="17" fillId="0" borderId="0" xfId="0" applyFont="1" applyAlignment="1">
      <alignment horizontal="right"/>
    </xf>
    <xf numFmtId="0" fontId="21" fillId="0" borderId="0" xfId="0" applyFont="1" applyAlignment="1"/>
    <xf numFmtId="0" fontId="22" fillId="0" borderId="0" xfId="0" applyFont="1" applyAlignment="1"/>
    <xf numFmtId="1" fontId="22" fillId="0" borderId="0" xfId="0" applyNumberFormat="1" applyFont="1" applyAlignment="1"/>
    <xf numFmtId="0" fontId="14" fillId="0" borderId="0" xfId="0" applyFont="1" applyAlignment="1">
      <alignment horizontal="right"/>
    </xf>
    <xf numFmtId="0" fontId="18" fillId="0" borderId="0" xfId="0" applyFont="1" applyFill="1" applyAlignment="1"/>
    <xf numFmtId="0" fontId="18" fillId="0" borderId="0" xfId="0" applyFont="1" applyFill="1" applyAlignment="1">
      <alignment horizontal="left"/>
    </xf>
    <xf numFmtId="0" fontId="9" fillId="0" borderId="0" xfId="0" applyFont="1" applyAlignment="1"/>
    <xf numFmtId="2" fontId="20" fillId="0" borderId="0" xfId="0" applyNumberFormat="1" applyFont="1" applyAlignment="1"/>
    <xf numFmtId="0" fontId="8" fillId="0" borderId="0" xfId="0" applyFont="1" applyFill="1" applyAlignment="1"/>
    <xf numFmtId="0" fontId="23" fillId="0" borderId="0" xfId="0" applyFont="1" applyAlignment="1"/>
    <xf numFmtId="0" fontId="24" fillId="0" borderId="0" xfId="0" applyFont="1" applyAlignment="1"/>
    <xf numFmtId="0" fontId="18" fillId="0" borderId="0" xfId="0" applyFont="1" applyAlignment="1">
      <alignment vertical="center"/>
    </xf>
    <xf numFmtId="0" fontId="3" fillId="0" borderId="0" xfId="0" applyFont="1" applyAlignment="1">
      <alignment vertical="center"/>
    </xf>
    <xf numFmtId="0" fontId="3" fillId="0" borderId="0" xfId="0" applyFont="1" applyAlignment="1"/>
    <xf numFmtId="49" fontId="0" fillId="0" borderId="0" xfId="0" applyNumberFormat="1" applyFont="1" applyAlignment="1">
      <alignment vertical="center"/>
    </xf>
    <xf numFmtId="0" fontId="0" fillId="0" borderId="0" xfId="0" applyNumberFormat="1" applyFont="1" applyAlignment="1">
      <alignment horizontal="left" vertical="center"/>
    </xf>
    <xf numFmtId="0" fontId="4" fillId="0" borderId="0" xfId="0" applyFont="1" applyAlignment="1"/>
    <xf numFmtId="0" fontId="3" fillId="0" borderId="0" xfId="0" applyFont="1" applyAlignment="1">
      <alignment horizontal="right" vertical="top"/>
    </xf>
    <xf numFmtId="0" fontId="3" fillId="0" borderId="0" xfId="0" applyFont="1" applyAlignment="1">
      <alignment vertical="top"/>
    </xf>
    <xf numFmtId="0" fontId="0" fillId="0" borderId="0" xfId="0" applyAlignment="1">
      <alignment horizontal="right" vertical="top"/>
    </xf>
    <xf numFmtId="0" fontId="0" fillId="0" borderId="0" xfId="0" applyAlignment="1">
      <alignment vertical="top"/>
    </xf>
    <xf numFmtId="0" fontId="0" fillId="0" borderId="0" xfId="0" applyFont="1" applyAlignment="1"/>
    <xf numFmtId="0" fontId="3" fillId="0" borderId="0" xfId="18" applyAlignment="1">
      <alignment vertical="center"/>
    </xf>
    <xf numFmtId="0" fontId="25" fillId="0" borderId="0" xfId="18" applyFont="1" applyAlignment="1">
      <alignment vertical="center"/>
    </xf>
    <xf numFmtId="0" fontId="26" fillId="0" borderId="0" xfId="18" applyFont="1" applyBorder="1" applyAlignment="1">
      <alignment horizontal="center" vertical="center" wrapText="1"/>
    </xf>
    <xf numFmtId="0" fontId="27" fillId="0" borderId="0" xfId="18" applyFont="1" applyBorder="1" applyAlignment="1">
      <alignment horizontal="center" vertical="center" wrapText="1"/>
    </xf>
    <xf numFmtId="0" fontId="26" fillId="0" borderId="4" xfId="18" applyFont="1" applyBorder="1" applyAlignment="1">
      <alignment horizontal="center" vertical="center" wrapText="1"/>
    </xf>
    <xf numFmtId="0" fontId="26" fillId="0" borderId="5" xfId="18" applyFont="1" applyBorder="1" applyAlignment="1">
      <alignment horizontal="center" vertical="center" wrapText="1"/>
    </xf>
    <xf numFmtId="0" fontId="27" fillId="0" borderId="6" xfId="18" applyFont="1" applyBorder="1" applyAlignment="1">
      <alignment horizontal="center" vertical="center" wrapText="1"/>
    </xf>
    <xf numFmtId="178" fontId="27" fillId="0" borderId="7" xfId="18" applyNumberFormat="1" applyFont="1" applyBorder="1" applyAlignment="1">
      <alignment horizontal="center" vertical="center" wrapText="1"/>
    </xf>
    <xf numFmtId="0" fontId="27" fillId="0" borderId="7" xfId="18" applyFont="1" applyBorder="1" applyAlignment="1">
      <alignment vertical="center" wrapText="1"/>
    </xf>
    <xf numFmtId="0" fontId="27" fillId="0" borderId="1" xfId="18" applyFont="1" applyBorder="1" applyAlignment="1">
      <alignment horizontal="center" vertical="center"/>
    </xf>
    <xf numFmtId="17" fontId="27" fillId="0" borderId="1" xfId="18" applyNumberFormat="1" applyFont="1" applyBorder="1" applyAlignment="1">
      <alignment horizontal="center" vertical="center"/>
    </xf>
    <xf numFmtId="0" fontId="27" fillId="0" borderId="1" xfId="18" applyFont="1" applyBorder="1" applyAlignment="1">
      <alignment vertical="center"/>
    </xf>
    <xf numFmtId="49" fontId="27" fillId="0" borderId="1" xfId="18" applyNumberFormat="1" applyFont="1" applyBorder="1" applyAlignment="1">
      <alignment horizontal="center" vertical="center"/>
    </xf>
    <xf numFmtId="0" fontId="3" fillId="0" borderId="0" xfId="19" applyAlignment="1"/>
    <xf numFmtId="0" fontId="28" fillId="0" borderId="0" xfId="19" applyFont="1" applyAlignment="1">
      <alignment horizontal="right"/>
    </xf>
    <xf numFmtId="0" fontId="29" fillId="0" borderId="0" xfId="19" applyFont="1" applyAlignment="1">
      <alignment horizontal="right" wrapText="1"/>
    </xf>
    <xf numFmtId="0" fontId="3" fillId="0" borderId="0" xfId="19" applyAlignment="1">
      <alignment horizontal="right"/>
    </xf>
    <xf numFmtId="0" fontId="30" fillId="0" borderId="0" xfId="66" applyFont="1" applyAlignment="1">
      <alignment horizontal="right" vertical="center"/>
    </xf>
    <xf numFmtId="49" fontId="30" fillId="0" borderId="8" xfId="19" applyNumberFormat="1" applyFont="1" applyBorder="1" applyAlignment="1">
      <alignment horizontal="right"/>
    </xf>
    <xf numFmtId="179" fontId="3" fillId="0" borderId="0" xfId="19" applyNumberFormat="1" applyAlignment="1"/>
    <xf numFmtId="0" fontId="31" fillId="0" borderId="0" xfId="84" applyFont="1" applyAlignment="1" applyProtection="1">
      <alignment horizontal="center" wrapText="1"/>
    </xf>
    <xf numFmtId="0" fontId="32" fillId="0" borderId="0" xfId="19" applyFont="1" applyAlignment="1">
      <alignment horizontal="center"/>
    </xf>
    <xf numFmtId="0" fontId="33" fillId="0" borderId="0" xfId="84" applyFont="1" applyAlignment="1" applyProtection="1">
      <alignment horizontal="left" wrapText="1"/>
    </xf>
    <xf numFmtId="0" fontId="34" fillId="0" borderId="0" xfId="19" applyFont="1" applyAlignment="1">
      <alignment horizontal="justify"/>
    </xf>
    <xf numFmtId="0" fontId="33" fillId="0" borderId="0" xfId="19" applyFont="1" applyAlignment="1">
      <alignment horizontal="justify"/>
    </xf>
    <xf numFmtId="0" fontId="34" fillId="0" borderId="0" xfId="19" applyFont="1" applyAlignment="1">
      <alignment horizontal="center" wrapText="1"/>
    </xf>
    <xf numFmtId="0" fontId="34" fillId="0" borderId="0" xfId="19" applyFont="1" applyAlignment="1">
      <alignment horizontal="center"/>
    </xf>
    <xf numFmtId="0" fontId="33" fillId="0" borderId="0" xfId="19" applyFont="1" applyAlignment="1">
      <alignment horizontal="center"/>
    </xf>
    <xf numFmtId="0" fontId="35" fillId="0" borderId="0" xfId="19" applyFont="1" applyAlignment="1"/>
    <xf numFmtId="0" fontId="35" fillId="0" borderId="0" xfId="19" applyFont="1" applyAlignment="1">
      <alignment horizontal="left"/>
    </xf>
    <xf numFmtId="17" fontId="27" fillId="0" borderId="1" xfId="18" applyNumberFormat="1" applyFont="1" applyBorder="1" applyAlignment="1" quotePrefix="1">
      <alignment horizontal="center" vertical="center"/>
    </xf>
    <xf numFmtId="49" fontId="27" fillId="0" borderId="1" xfId="18" applyNumberFormat="1" applyFont="1" applyBorder="1" applyAlignment="1" quotePrefix="1">
      <alignment horizontal="center" vertical="center"/>
    </xf>
    <xf numFmtId="0" fontId="3" fillId="0" borderId="0" xfId="0" applyFont="1" applyAlignment="1" quotePrefix="1">
      <alignment horizontal="right" vertical="top"/>
    </xf>
    <xf numFmtId="0" fontId="0" fillId="0" borderId="0" xfId="0" applyAlignment="1" quotePrefix="1">
      <alignment horizontal="right" vertical="top"/>
    </xf>
  </cellXfs>
  <cellStyles count="95">
    <cellStyle name="常规" xfId="0" builtinId="0"/>
    <cellStyle name="千位分隔" xfId="1" builtinId="3"/>
    <cellStyle name="Normal 192" xfId="2"/>
    <cellStyle name="Normal 187" xfId="3"/>
    <cellStyle name="Normal 11" xfId="4"/>
    <cellStyle name="货币" xfId="5" builtinId="4"/>
    <cellStyle name="Normal 178" xfId="6"/>
    <cellStyle name="Normal 183" xfId="7"/>
    <cellStyle name="千位分隔[0]" xfId="8" builtinId="6"/>
    <cellStyle name="Normal 147" xfId="9"/>
    <cellStyle name="Normal 202" xfId="10"/>
    <cellStyle name="百分比" xfId="11" builtinId="5"/>
    <cellStyle name="货币[0]" xfId="12" builtinId="7"/>
    <cellStyle name="Good 2" xfId="13"/>
    <cellStyle name="Normal 10" xfId="14"/>
    <cellStyle name="Normal 12" xfId="15"/>
    <cellStyle name="Normal 12 10" xfId="16"/>
    <cellStyle name="Normal 121" xfId="17"/>
    <cellStyle name="Normal 13" xfId="18"/>
    <cellStyle name="Normal 14" xfId="19"/>
    <cellStyle name="Normal 7 29" xfId="20"/>
    <cellStyle name="Normal 145" xfId="21"/>
    <cellStyle name="Normal 150" xfId="22"/>
    <cellStyle name="Normal 200" xfId="23"/>
    <cellStyle name="Normal 146" xfId="24"/>
    <cellStyle name="Normal 201" xfId="25"/>
    <cellStyle name="Normal 148" xfId="26"/>
    <cellStyle name="Normal 153" xfId="27"/>
    <cellStyle name="Normal 203" xfId="28"/>
    <cellStyle name="Normal 208" xfId="29"/>
    <cellStyle name="Normal 158" xfId="30"/>
    <cellStyle name="Normal 209" xfId="31"/>
    <cellStyle name="Normal 159" xfId="32"/>
    <cellStyle name="Normal 164" xfId="33"/>
    <cellStyle name="Normal 165" xfId="34"/>
    <cellStyle name="Normal 170" xfId="35"/>
    <cellStyle name="Normal 166" xfId="36"/>
    <cellStyle name="Normal 171" xfId="37"/>
    <cellStyle name="Normal 167" xfId="38"/>
    <cellStyle name="Normal 172" xfId="39"/>
    <cellStyle name="Normal 168" xfId="40"/>
    <cellStyle name="Normal 173" xfId="41"/>
    <cellStyle name="Normal 169" xfId="42"/>
    <cellStyle name="Normal 174" xfId="43"/>
    <cellStyle name="Normal 175" xfId="44"/>
    <cellStyle name="Normal 180" xfId="45"/>
    <cellStyle name="Normal 176" xfId="46"/>
    <cellStyle name="Normal 181" xfId="47"/>
    <cellStyle name="Normal 177" xfId="48"/>
    <cellStyle name="Normal 182" xfId="49"/>
    <cellStyle name="Normal 179" xfId="50"/>
    <cellStyle name="Normal 184" xfId="51"/>
    <cellStyle name="Normal 185" xfId="52"/>
    <cellStyle name="Normal 190" xfId="53"/>
    <cellStyle name="Normal 186" xfId="54"/>
    <cellStyle name="Normal 191" xfId="55"/>
    <cellStyle name="Normal 188" xfId="56"/>
    <cellStyle name="Normal 193" xfId="57"/>
    <cellStyle name="Normal 189" xfId="58"/>
    <cellStyle name="Normal 194" xfId="59"/>
    <cellStyle name="Normal 195" xfId="60"/>
    <cellStyle name="Normal 196" xfId="61"/>
    <cellStyle name="Normal 197" xfId="62"/>
    <cellStyle name="Normal 198" xfId="63"/>
    <cellStyle name="Normal 2 2 2" xfId="64"/>
    <cellStyle name="Normal 199" xfId="65"/>
    <cellStyle name="Normal 2" xfId="66"/>
    <cellStyle name="Normal 2 3" xfId="67"/>
    <cellStyle name="Normal 204" xfId="68"/>
    <cellStyle name="Normal 205" xfId="69"/>
    <cellStyle name="Normal 210" xfId="70"/>
    <cellStyle name="Normal 206" xfId="71"/>
    <cellStyle name="Normal 211" xfId="72"/>
    <cellStyle name="Normal 207" xfId="73"/>
    <cellStyle name="Normal 212" xfId="74"/>
    <cellStyle name="Normal 3" xfId="75"/>
    <cellStyle name="Normal 4" xfId="76"/>
    <cellStyle name="Normal 5" xfId="77"/>
    <cellStyle name="Normal 51" xfId="78"/>
    <cellStyle name="Normal 6" xfId="79"/>
    <cellStyle name="Normal 7" xfId="80"/>
    <cellStyle name="Normal 7 16" xfId="81"/>
    <cellStyle name="Normal 7 18" xfId="82"/>
    <cellStyle name="Normal 7 2" xfId="83"/>
    <cellStyle name="超链接" xfId="84" builtinId="8"/>
    <cellStyle name="Normal 7 27" xfId="85"/>
    <cellStyle name="Normal 7 3" xfId="86"/>
    <cellStyle name="Normal 7 4" xfId="87"/>
    <cellStyle name="Normal 7 8" xfId="88"/>
    <cellStyle name="Normal 7 8 2 2 2 3" xfId="89"/>
    <cellStyle name="Normal 7 8 6" xfId="90"/>
    <cellStyle name="Normal 8" xfId="91"/>
    <cellStyle name="Normal 9" xfId="92"/>
    <cellStyle name="Normal 95" xfId="93"/>
    <cellStyle name="Normal 96" xfId="94"/>
  </cellStyles>
  <dxfs count="4">
    <dxf>
      <font>
        <color indexed="60"/>
      </font>
      <fill>
        <patternFill>
          <fgColor indexed="10"/>
          <bgColor indexed="29"/>
        </patternFill>
      </fill>
    </dxf>
    <dxf>
      <font>
        <color indexed="17"/>
      </font>
      <fill>
        <patternFill>
          <fgColor indexed="10"/>
          <bgColor indexed="42"/>
        </patternFill>
      </fill>
    </dxf>
    <dxf>
      <font>
        <color indexed="60"/>
      </font>
      <fill>
        <patternFill>
          <fgColor indexed="10"/>
          <bgColor indexed="29"/>
        </patternFill>
      </fill>
    </dxf>
    <dxf>
      <font>
        <color indexed="60"/>
      </font>
      <fill>
        <patternFill>
          <fgColor indexed="10"/>
          <bgColor indexed="29"/>
        </patternFill>
      </fill>
    </dxf>
  </dxfs>
</styleSheet>
</file>

<file path=xl/_rels/workbook.xml.rels><?xml version="1.0" encoding="UTF-8" standalone="yes"?>
<Relationships xmlns="http://schemas.openxmlformats.org/package/2006/relationships"><Relationship Id="rId9" Type="http://schemas.openxmlformats.org/officeDocument/2006/relationships/customXml" Target="../customXml/item4.xml"/><Relationship Id="rId8" Type="http://schemas.openxmlformats.org/officeDocument/2006/relationships/customXml" Target="../customXml/item3.xml"/><Relationship Id="rId7" Type="http://schemas.openxmlformats.org/officeDocument/2006/relationships/customXml" Target="../customXml/item2.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openxmlformats.org/officeDocument/2006/relationships/sharedStrings" Target="sharedStrings.xml"/><Relationship Id="rId13" Type="http://schemas.openxmlformats.org/officeDocument/2006/relationships/styles" Target="style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customXml" Target="../customXml/item5.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a="http://schemas.openxmlformats.org/drawingml/2006/main" xmlns:xdr="http://schemas.openxmlformats.org/drawingml/2006/spreadsheetDrawing"/>
</file>

<file path=xl/externalLinks/_rels/externalLink1.xml.rels><?xml version="1.0" encoding="UTF-8" standalone="yes"?>
<Relationships xmlns="http://schemas.openxmlformats.org/package/2006/relationships"><Relationship Id="rId1" Type="http://schemas.microsoft.com/office/2006/relationships/xlExternalLinkPath/xlPathMissing" Target="C:\DOCUME~1\kitfongn\LOCALS~1\Temp\dsi_timing_program_020713_28nm_Hpm_global_timing_v2_rev1.3.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SI and MDP registers"/>
      <sheetName val="DSI PHY timing setting"/>
    </sheetNames>
    <sheetDataSet>
      <sheetData sheetId="0" refreshError="1"/>
      <sheetData sheetId="1" refreshError="1">
        <row r="28">
          <cell r="A28" t="str">
            <v>PHY Registers (address)</v>
          </cell>
          <cell r="B28" t="str">
            <v>value in hex</v>
          </cell>
        </row>
        <row r="42">
          <cell r="B42" t="str">
            <v>70D</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4" Type="http://schemas.openxmlformats.org/officeDocument/2006/relationships/hyperlink" Target="mailto:DocCtrlAgent@qualcomm.com" TargetMode="External"/><Relationship Id="rId3" Type="http://schemas.openxmlformats.org/officeDocument/2006/relationships/hyperlink" Target="https://support.cdmatech.com/" TargetMode="Externa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tQTI_Title_Page"/>
  <dimension ref="A1:D1003"/>
  <sheetViews>
    <sheetView showGridLines="0" view="pageBreakPreview" zoomScaleNormal="100" zoomScaleSheetLayoutView="100" topLeftCell="A7" workbookViewId="0">
      <selection activeCell="A1" sqref="A1"/>
    </sheetView>
  </sheetViews>
  <sheetFormatPr defaultColWidth="9.14285714285714" defaultRowHeight="12.75" outlineLevelCol="3"/>
  <cols>
    <col min="1" max="1" width="168.428571428571" style="96" customWidth="1"/>
    <col min="2" max="16384" width="9.14285714285714" style="96"/>
  </cols>
  <sheetData>
    <row r="1" ht="53.25" customHeight="1"/>
    <row r="2" ht="84" customHeight="1" spans="1:1">
      <c r="A2" s="97" t="s">
        <v>0</v>
      </c>
    </row>
    <row r="3" ht="22.5" customHeight="1" spans="1:4">
      <c r="A3" s="98" t="s">
        <v>1</v>
      </c>
      <c r="D3" s="99"/>
    </row>
    <row r="4" ht="20.1" customHeight="1" spans="1:1">
      <c r="A4" s="100" t="s">
        <v>2</v>
      </c>
    </row>
    <row r="5" ht="24" customHeight="1" spans="1:4">
      <c r="A5" s="101" t="s">
        <v>3</v>
      </c>
      <c r="D5" s="102"/>
    </row>
    <row r="6" ht="45.75" customHeight="1" spans="1:1">
      <c r="A6" s="103" t="s">
        <v>4</v>
      </c>
    </row>
    <row r="7" ht="165" customHeight="1" spans="1:1">
      <c r="A7" s="104" t="s">
        <v>5</v>
      </c>
    </row>
    <row r="8" ht="33.75" customHeight="1" spans="1:1">
      <c r="A8" s="105" t="s">
        <v>6</v>
      </c>
    </row>
    <row r="9" ht="38.25" customHeight="1" spans="1:1">
      <c r="A9" s="106" t="s">
        <v>7</v>
      </c>
    </row>
    <row r="10" ht="31.5" customHeight="1" spans="1:1">
      <c r="A10" s="107" t="s">
        <v>8</v>
      </c>
    </row>
    <row r="11" ht="47.25" customHeight="1" spans="1:1">
      <c r="A11" s="107" t="s">
        <v>9</v>
      </c>
    </row>
    <row r="12" ht="36" customHeight="1" spans="1:1">
      <c r="A12" s="107" t="s">
        <v>10</v>
      </c>
    </row>
    <row r="13" ht="15" customHeight="1" spans="1:1">
      <c r="A13" s="107"/>
    </row>
    <row r="14" ht="58.5" customHeight="1" spans="1:1">
      <c r="A14" s="108" t="s">
        <v>11</v>
      </c>
    </row>
    <row r="15" ht="27.75" customHeight="1" spans="1:1">
      <c r="A15" s="108" t="s">
        <v>12</v>
      </c>
    </row>
    <row r="16" ht="12.6" customHeight="1" spans="1:1">
      <c r="A16" s="109"/>
    </row>
    <row r="17" spans="1:1">
      <c r="A17" s="110"/>
    </row>
    <row r="18" spans="1:1">
      <c r="A18" s="110"/>
    </row>
    <row r="19" spans="1:1">
      <c r="A19" s="110"/>
    </row>
    <row r="1001" spans="1:1">
      <c r="A1001" s="111" t="s">
        <v>13</v>
      </c>
    </row>
    <row r="1002" spans="1:1">
      <c r="A1002" s="111" t="s">
        <v>14</v>
      </c>
    </row>
    <row r="1003" spans="1:1">
      <c r="A1003" s="112" t="s">
        <v>13</v>
      </c>
    </row>
  </sheetData>
  <hyperlinks>
    <hyperlink ref="A6" r:id="rId3" display="Submit technical questions to:&#10;https://support.cdmatech.com"/>
    <hyperlink ref="A8" r:id="rId4" display="NO PUBLIC DISCLOSURE PERMITTED: Please report postings of this document on public servers or websites to: DocCtrlAgent@qualcomm.com "/>
  </hyperlinks>
  <printOptions horizontalCentered="1" verticalCentered="1"/>
  <pageMargins left="0.25" right="0.25" top="0.5" bottom="0.65" header="0.3" footer="0.3"/>
  <pageSetup paperSize="1" scale="98" orientation="portrait"/>
  <headerFooter scaleWithDoc="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4"/>
  <dimension ref="A1:E7"/>
  <sheetViews>
    <sheetView showGridLines="0" workbookViewId="0">
      <selection activeCell="A7" sqref="A7"/>
    </sheetView>
  </sheetViews>
  <sheetFormatPr defaultColWidth="9.14285714285714" defaultRowHeight="15.95" customHeight="1" outlineLevelRow="6" outlineLevelCol="4"/>
  <cols>
    <col min="1" max="2" width="3.28571428571429" style="83" customWidth="1"/>
    <col min="3" max="3" width="9.14285714285714" style="83"/>
    <col min="4" max="4" width="16" style="83" customWidth="1"/>
    <col min="5" max="5" width="67.2857142857143" style="83" customWidth="1"/>
    <col min="6" max="16384" width="9.14285714285714" style="83"/>
  </cols>
  <sheetData>
    <row r="1" ht="24.75" customHeight="1" spans="1:2">
      <c r="A1" s="84" t="s">
        <v>15</v>
      </c>
      <c r="B1" s="84"/>
    </row>
    <row r="2" customHeight="1" spans="1:4">
      <c r="A2" s="85"/>
      <c r="B2" s="85"/>
      <c r="C2" s="85"/>
      <c r="D2" s="85"/>
    </row>
    <row r="3" ht="20.1" customHeight="1" spans="1:5">
      <c r="A3" s="86"/>
      <c r="B3" s="86"/>
      <c r="C3" s="87" t="s">
        <v>16</v>
      </c>
      <c r="D3" s="88" t="s">
        <v>17</v>
      </c>
      <c r="E3" s="88" t="s">
        <v>18</v>
      </c>
    </row>
    <row r="4" customHeight="1" spans="3:5">
      <c r="C4" s="89" t="s">
        <v>19</v>
      </c>
      <c r="D4" s="90">
        <v>41456</v>
      </c>
      <c r="E4" s="91" t="s">
        <v>20</v>
      </c>
    </row>
    <row r="5" customHeight="1" spans="3:5">
      <c r="C5" s="92" t="s">
        <v>21</v>
      </c>
      <c r="D5" s="113" t="s">
        <v>22</v>
      </c>
      <c r="E5" s="94" t="s">
        <v>23</v>
      </c>
    </row>
    <row r="6" customHeight="1" spans="3:5">
      <c r="C6" s="92" t="s">
        <v>24</v>
      </c>
      <c r="D6" s="114" t="s">
        <v>25</v>
      </c>
      <c r="E6" s="94" t="s">
        <v>26</v>
      </c>
    </row>
    <row r="7" customHeight="1" spans="3:5">
      <c r="C7" s="92" t="s">
        <v>27</v>
      </c>
      <c r="D7" s="114" t="s">
        <v>28</v>
      </c>
      <c r="E7" s="94" t="s">
        <v>29</v>
      </c>
    </row>
  </sheetData>
  <pageMargins left="0.25" right="0.25" top="0.5" bottom="0.65" header="0.3" footer="0.3"/>
  <pageSetup paperSize="1" firstPageNumber="2" orientation="portrait" useFirstPageNumber="1"/>
  <headerFooter scaleWithDoc="0">
    <oddFooter>&amp;L&amp;8 80-NH713-1 Rev. D
&amp;C&amp;8 &amp;P
&amp;"Arial,Bold" MAY CONTAIN U.S. AND INTERNATIONAL EXPORT CONTROLLED INFORMATION&amp;R&amp;8 Confidential and Proprietary - Qualcomm Technologies, Inc.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5">
    <pageSetUpPr fitToPage="1"/>
  </sheetPr>
  <dimension ref="A1:K24"/>
  <sheetViews>
    <sheetView view="pageBreakPreview" zoomScale="110" zoomScaleNormal="130" zoomScaleSheetLayoutView="110" workbookViewId="0">
      <selection activeCell="C8" sqref="C8"/>
    </sheetView>
  </sheetViews>
  <sheetFormatPr defaultColWidth="9" defaultRowHeight="12.75"/>
  <cols>
    <col min="1" max="1" width="4.14285714285714" customWidth="1"/>
    <col min="16" max="16" width="11.7142857142857" customWidth="1"/>
  </cols>
  <sheetData>
    <row r="1" ht="36" customHeight="1" spans="1:11">
      <c r="A1" s="72" t="s">
        <v>30</v>
      </c>
      <c r="B1" s="73"/>
      <c r="C1" s="74"/>
      <c r="D1" s="74"/>
      <c r="E1" s="74"/>
      <c r="F1" s="74"/>
      <c r="G1" s="74"/>
      <c r="H1" s="74"/>
      <c r="I1" s="74"/>
      <c r="J1" s="74"/>
      <c r="K1" s="74"/>
    </row>
    <row r="2" customFormat="1" ht="15" customHeight="1" spans="1:11">
      <c r="A2" s="75" t="s">
        <v>31</v>
      </c>
      <c r="B2" s="73"/>
      <c r="C2" s="74"/>
      <c r="D2" s="74"/>
      <c r="E2" s="74"/>
      <c r="F2" s="74"/>
      <c r="G2" s="74"/>
      <c r="H2" s="74"/>
      <c r="I2" s="74"/>
      <c r="J2" s="74"/>
      <c r="K2" s="74"/>
    </row>
    <row r="3" ht="18.75" customHeight="1" spans="2:11">
      <c r="B3" s="75">
        <v>8974</v>
      </c>
      <c r="C3" s="74"/>
      <c r="D3" s="74"/>
      <c r="E3" s="74"/>
      <c r="F3" s="74"/>
      <c r="G3" s="74"/>
      <c r="H3" s="74"/>
      <c r="I3" s="74"/>
      <c r="J3" s="74"/>
      <c r="K3" s="74"/>
    </row>
    <row r="4" ht="18.75" customHeight="1" spans="2:11">
      <c r="B4" s="75">
        <v>8084</v>
      </c>
      <c r="C4" s="74"/>
      <c r="D4" s="74"/>
      <c r="E4" s="74"/>
      <c r="F4" s="74"/>
      <c r="G4" s="74"/>
      <c r="H4" s="74"/>
      <c r="I4" s="74"/>
      <c r="J4" s="74"/>
      <c r="K4" s="74"/>
    </row>
    <row r="5" ht="18.75" customHeight="1" spans="2:11">
      <c r="B5" s="75" t="s">
        <v>32</v>
      </c>
      <c r="C5" s="74"/>
      <c r="D5" s="74"/>
      <c r="E5" s="74"/>
      <c r="F5" s="74"/>
      <c r="G5" s="74"/>
      <c r="H5" s="74"/>
      <c r="I5" s="74"/>
      <c r="J5" s="74"/>
      <c r="K5" s="74"/>
    </row>
    <row r="6" ht="18.75" customHeight="1" spans="2:11">
      <c r="B6" s="75">
        <v>8926</v>
      </c>
      <c r="C6" s="74"/>
      <c r="D6" s="74"/>
      <c r="E6" s="74"/>
      <c r="F6" s="74"/>
      <c r="G6" s="74"/>
      <c r="H6" s="74"/>
      <c r="I6" s="74"/>
      <c r="J6" s="74"/>
      <c r="K6" s="74"/>
    </row>
    <row r="7" ht="18.75" customHeight="1" spans="2:11">
      <c r="B7" s="75" t="s">
        <v>33</v>
      </c>
      <c r="C7" s="74"/>
      <c r="D7" s="74"/>
      <c r="E7" s="74"/>
      <c r="F7" s="74"/>
      <c r="G7" s="74"/>
      <c r="H7" s="74"/>
      <c r="I7" s="74"/>
      <c r="J7" s="74"/>
      <c r="K7" s="74"/>
    </row>
    <row r="8" customFormat="1" ht="18.75" customHeight="1" spans="2:11">
      <c r="B8" s="75" t="s">
        <v>34</v>
      </c>
      <c r="C8" s="74"/>
      <c r="D8" s="74"/>
      <c r="E8" s="74"/>
      <c r="F8" s="74"/>
      <c r="G8" s="74"/>
      <c r="H8" s="74"/>
      <c r="I8" s="74"/>
      <c r="J8" s="74"/>
      <c r="K8" s="74"/>
    </row>
    <row r="9" customFormat="1" ht="18.75" customHeight="1" spans="2:11">
      <c r="B9" s="76">
        <v>8994</v>
      </c>
      <c r="C9" s="74"/>
      <c r="D9" s="74"/>
      <c r="E9" s="74"/>
      <c r="F9" s="74"/>
      <c r="G9" s="74"/>
      <c r="H9" s="74"/>
      <c r="I9" s="74"/>
      <c r="J9" s="74"/>
      <c r="K9" s="74"/>
    </row>
    <row r="10" ht="18.75" customHeight="1" spans="2:11">
      <c r="B10" s="76">
        <v>8992</v>
      </c>
      <c r="C10" s="74"/>
      <c r="D10" s="74"/>
      <c r="E10" s="74"/>
      <c r="F10" s="74"/>
      <c r="G10" s="74"/>
      <c r="H10" s="74"/>
      <c r="I10" s="74"/>
      <c r="J10" s="74"/>
      <c r="K10" s="74"/>
    </row>
    <row r="11" ht="18.75" customHeight="1" spans="1:11">
      <c r="A11" s="77" t="s">
        <v>35</v>
      </c>
      <c r="B11" s="74"/>
      <c r="C11" s="74"/>
      <c r="D11" s="74"/>
      <c r="E11" s="74"/>
      <c r="F11" s="74"/>
      <c r="G11" s="74"/>
      <c r="H11" s="74"/>
      <c r="I11" s="74"/>
      <c r="J11" s="74"/>
      <c r="K11" s="74"/>
    </row>
    <row r="12" spans="1:11">
      <c r="A12" s="115" t="s">
        <v>36</v>
      </c>
      <c r="B12" s="79" t="s">
        <v>37</v>
      </c>
      <c r="C12" s="74"/>
      <c r="D12" s="74"/>
      <c r="E12" s="74"/>
      <c r="F12" s="74"/>
      <c r="G12" s="74"/>
      <c r="H12" s="74"/>
      <c r="I12" s="74"/>
      <c r="J12" s="74"/>
      <c r="K12" s="74"/>
    </row>
    <row r="13" spans="1:11">
      <c r="A13" s="115" t="s">
        <v>38</v>
      </c>
      <c r="B13" s="79" t="s">
        <v>39</v>
      </c>
      <c r="C13" s="74"/>
      <c r="D13" s="74"/>
      <c r="E13" s="74"/>
      <c r="F13" s="74"/>
      <c r="G13" s="74"/>
      <c r="H13" s="74"/>
      <c r="I13" s="74"/>
      <c r="J13" s="74"/>
      <c r="K13" s="74"/>
    </row>
    <row r="14" spans="1:11">
      <c r="A14" s="115" t="s">
        <v>40</v>
      </c>
      <c r="B14" s="79" t="s">
        <v>41</v>
      </c>
      <c r="C14" s="74"/>
      <c r="D14" s="74"/>
      <c r="E14" s="74"/>
      <c r="F14" s="74"/>
      <c r="G14" s="74"/>
      <c r="H14" s="74"/>
      <c r="I14" s="74"/>
      <c r="J14" s="74"/>
      <c r="K14" s="74"/>
    </row>
    <row r="15" spans="2:11">
      <c r="B15" s="74"/>
      <c r="C15" s="74"/>
      <c r="D15" s="74"/>
      <c r="E15" s="74"/>
      <c r="F15" s="74"/>
      <c r="G15" s="74"/>
      <c r="H15" s="74"/>
      <c r="I15" s="74"/>
      <c r="J15" s="74"/>
      <c r="K15" s="74"/>
    </row>
    <row r="17" spans="1:1">
      <c r="A17" s="77" t="s">
        <v>42</v>
      </c>
    </row>
    <row r="18" spans="1:2">
      <c r="A18" s="116" t="s">
        <v>36</v>
      </c>
      <c r="B18" s="81" t="s">
        <v>43</v>
      </c>
    </row>
    <row r="19" spans="1:2">
      <c r="A19" s="115" t="s">
        <v>38</v>
      </c>
      <c r="B19" s="79" t="s">
        <v>44</v>
      </c>
    </row>
    <row r="20" spans="1:2">
      <c r="A20" s="115" t="s">
        <v>40</v>
      </c>
      <c r="B20" s="79" t="s">
        <v>45</v>
      </c>
    </row>
    <row r="21" spans="1:1">
      <c r="A21" s="74"/>
    </row>
    <row r="22" spans="1:2">
      <c r="A22" s="77" t="s">
        <v>46</v>
      </c>
      <c r="B22" s="1"/>
    </row>
    <row r="23" spans="1:2">
      <c r="A23" s="116" t="s">
        <v>36</v>
      </c>
      <c r="B23" s="82" t="s">
        <v>47</v>
      </c>
    </row>
    <row r="24" spans="2:2">
      <c r="B24" s="82"/>
    </row>
  </sheetData>
  <pageMargins left="0.25" right="0.25" top="0.5" bottom="0.65" header="0.3" footer="0.3"/>
  <pageSetup paperSize="1" scale="73" fitToHeight="0" orientation="portrait"/>
  <headerFooter scaleWithDoc="0">
    <oddHeader>&amp;L&amp;"Arial,Italic"&amp;9 DSI Timing Parameters User Interactive Spreadsheet&amp;R&amp;"Arial,Italic"&amp;9&amp;A</oddHeader>
    <oddFooter>&amp;L&amp;8 80-NH713-1 Rev. D
&amp;C&amp;8 &amp;P
&amp;"Arial,Bold" MAY CONTAIN U.S. AND INTERNATIONAL EXPORT CONTROLLED INFORMATION&amp;R&amp;8 Confidential and Proprietary - Qualcomm Technologies, Inc.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pageSetUpPr fitToPage="1"/>
  </sheetPr>
  <dimension ref="B1:N101"/>
  <sheetViews>
    <sheetView tabSelected="1" view="pageBreakPreview" zoomScale="85" zoomScaleNormal="100" zoomScaleSheetLayoutView="85" workbookViewId="0">
      <selection activeCell="C9" sqref="C9"/>
    </sheetView>
  </sheetViews>
  <sheetFormatPr defaultColWidth="9.14285714285714" defaultRowHeight="25.5"/>
  <cols>
    <col min="1" max="1" width="3.28571428571429" style="37" customWidth="1"/>
    <col min="2" max="2" width="93.3333333333333" style="37" customWidth="1"/>
    <col min="3" max="3" width="48.0952380952381" style="37" customWidth="1"/>
    <col min="4" max="4" width="49.7619047619048" style="37" customWidth="1"/>
    <col min="5" max="5" width="52.6190476190476" style="37" customWidth="1"/>
    <col min="6" max="6" width="15" style="37" customWidth="1"/>
    <col min="7" max="10" width="9.14285714285714" style="37"/>
    <col min="11" max="11" width="19.1428571428571" style="37" customWidth="1"/>
    <col min="12" max="12" width="10" style="37" customWidth="1"/>
    <col min="13" max="13" width="11" style="37" customWidth="1"/>
    <col min="14" max="14" width="12.8571428571429" style="37" customWidth="1"/>
    <col min="15" max="16384" width="9.14285714285714" style="37"/>
  </cols>
  <sheetData>
    <row r="1" ht="26.25" spans="2:14">
      <c r="B1" s="38" t="s">
        <v>48</v>
      </c>
      <c r="C1" s="38"/>
      <c r="K1" s="61"/>
      <c r="L1" s="61"/>
      <c r="M1" s="62"/>
      <c r="N1" s="62"/>
    </row>
    <row r="2" spans="2:4">
      <c r="B2" s="39" t="s">
        <v>49</v>
      </c>
      <c r="C2" s="40">
        <v>60</v>
      </c>
      <c r="D2" s="37" t="s">
        <v>50</v>
      </c>
    </row>
    <row r="3" spans="2:4">
      <c r="B3" s="39" t="s">
        <v>51</v>
      </c>
      <c r="C3" s="40">
        <v>2</v>
      </c>
      <c r="D3" s="37" t="s">
        <v>52</v>
      </c>
    </row>
    <row r="4" spans="2:4">
      <c r="B4" s="39" t="s">
        <v>53</v>
      </c>
      <c r="C4" s="40">
        <v>3</v>
      </c>
      <c r="D4" s="37" t="s">
        <v>54</v>
      </c>
    </row>
    <row r="5" ht="26.25" spans="3:3">
      <c r="C5" s="41"/>
    </row>
    <row r="6" ht="26.25" spans="2:14">
      <c r="B6" s="37" t="s">
        <v>55</v>
      </c>
      <c r="C6" s="42">
        <f>C8</f>
        <v>320</v>
      </c>
      <c r="D6" s="43" t="s">
        <v>56</v>
      </c>
      <c r="E6" s="37" t="s">
        <v>57</v>
      </c>
      <c r="K6" s="61"/>
      <c r="L6" s="62"/>
      <c r="M6" s="62"/>
      <c r="N6" s="62"/>
    </row>
    <row r="7" spans="2:14">
      <c r="B7" s="37" t="s">
        <v>58</v>
      </c>
      <c r="C7" s="42">
        <f>C9</f>
        <v>480</v>
      </c>
      <c r="D7" s="43" t="s">
        <v>59</v>
      </c>
      <c r="E7" s="37" t="s">
        <v>57</v>
      </c>
      <c r="K7" s="62"/>
      <c r="L7" s="62"/>
      <c r="M7" s="62"/>
      <c r="N7" s="62"/>
    </row>
    <row r="8" spans="2:14">
      <c r="B8" s="39" t="s">
        <v>60</v>
      </c>
      <c r="C8" s="40">
        <v>320</v>
      </c>
      <c r="D8" s="43" t="s">
        <v>56</v>
      </c>
      <c r="E8" s="37" t="s">
        <v>61</v>
      </c>
      <c r="K8" s="62"/>
      <c r="L8" s="62"/>
      <c r="M8" s="62"/>
      <c r="N8" s="62"/>
    </row>
    <row r="9" spans="2:14">
      <c r="B9" s="39" t="s">
        <v>62</v>
      </c>
      <c r="C9" s="40">
        <v>480</v>
      </c>
      <c r="D9" s="43" t="s">
        <v>59</v>
      </c>
      <c r="E9" s="37" t="s">
        <v>61</v>
      </c>
      <c r="K9" s="62"/>
      <c r="L9" s="62"/>
      <c r="M9" s="62"/>
      <c r="N9" s="62"/>
    </row>
    <row r="10" ht="26.25" spans="3:14">
      <c r="C10" s="41"/>
      <c r="D10" s="43"/>
      <c r="K10" s="62"/>
      <c r="L10" s="62"/>
      <c r="M10" s="62"/>
      <c r="N10" s="62"/>
    </row>
    <row r="11" ht="26.25" spans="2:14">
      <c r="B11" s="39" t="s">
        <v>63</v>
      </c>
      <c r="C11" s="40">
        <v>12</v>
      </c>
      <c r="D11" s="43" t="s">
        <v>64</v>
      </c>
      <c r="E11" s="44" t="s">
        <v>65</v>
      </c>
      <c r="K11" s="61"/>
      <c r="L11" s="62"/>
      <c r="M11" s="62"/>
      <c r="N11" s="62"/>
    </row>
    <row r="12" ht="26.25" spans="2:14">
      <c r="B12" s="39" t="s">
        <v>66</v>
      </c>
      <c r="C12" s="40">
        <v>72</v>
      </c>
      <c r="D12" s="43" t="s">
        <v>64</v>
      </c>
      <c r="E12" s="44" t="s">
        <v>65</v>
      </c>
      <c r="K12" s="61"/>
      <c r="L12" s="62"/>
      <c r="M12" s="62"/>
      <c r="N12" s="62"/>
    </row>
    <row r="13" spans="2:14">
      <c r="B13" s="37" t="s">
        <v>67</v>
      </c>
      <c r="C13" s="42">
        <f>C11+C12</f>
        <v>84</v>
      </c>
      <c r="D13" s="43" t="s">
        <v>64</v>
      </c>
      <c r="K13" s="62"/>
      <c r="L13" s="63"/>
      <c r="M13" s="62"/>
      <c r="N13" s="62"/>
    </row>
    <row r="14" spans="2:14">
      <c r="B14" s="39" t="s">
        <v>68</v>
      </c>
      <c r="C14" s="40">
        <v>72</v>
      </c>
      <c r="D14" s="43" t="s">
        <v>64</v>
      </c>
      <c r="E14" s="44" t="s">
        <v>65</v>
      </c>
      <c r="K14" s="62"/>
      <c r="L14" s="63"/>
      <c r="M14" s="62"/>
      <c r="N14" s="62"/>
    </row>
    <row r="15" ht="26.25" spans="3:4">
      <c r="C15" s="41"/>
      <c r="D15" s="43"/>
    </row>
    <row r="16" spans="2:4">
      <c r="B16" s="39" t="s">
        <v>69</v>
      </c>
      <c r="C16" s="40">
        <v>2</v>
      </c>
      <c r="D16" s="43" t="s">
        <v>59</v>
      </c>
    </row>
    <row r="17" spans="2:4">
      <c r="B17" s="39" t="s">
        <v>70</v>
      </c>
      <c r="C17" s="40">
        <v>16</v>
      </c>
      <c r="D17" s="43" t="s">
        <v>59</v>
      </c>
    </row>
    <row r="18" spans="2:4">
      <c r="B18" s="37" t="s">
        <v>71</v>
      </c>
      <c r="C18" s="42">
        <f>C16+C17</f>
        <v>18</v>
      </c>
      <c r="D18" s="43" t="s">
        <v>59</v>
      </c>
    </row>
    <row r="19" spans="2:4">
      <c r="B19" s="39" t="s">
        <v>72</v>
      </c>
      <c r="C19" s="40">
        <v>9</v>
      </c>
      <c r="D19" s="43" t="s">
        <v>59</v>
      </c>
    </row>
    <row r="20" ht="26.25" spans="2:4">
      <c r="B20" s="45"/>
      <c r="C20" s="41"/>
      <c r="D20" s="43"/>
    </row>
    <row r="21" spans="2:4">
      <c r="B21" s="39" t="s">
        <v>73</v>
      </c>
      <c r="C21" s="40">
        <v>19.2</v>
      </c>
      <c r="D21" s="43" t="s">
        <v>74</v>
      </c>
    </row>
    <row r="22" spans="2:4">
      <c r="B22" s="39" t="s">
        <v>75</v>
      </c>
      <c r="C22" s="39">
        <v>1</v>
      </c>
      <c r="D22" s="43"/>
    </row>
    <row r="23" spans="2:4">
      <c r="B23" s="45"/>
      <c r="C23" s="45"/>
      <c r="D23" s="43"/>
    </row>
    <row r="24" spans="2:4">
      <c r="B24" s="45"/>
      <c r="C24" s="45"/>
      <c r="D24" s="43"/>
    </row>
    <row r="25" spans="2:4">
      <c r="B25" s="45"/>
      <c r="C25" s="45"/>
      <c r="D25" s="43"/>
    </row>
    <row r="26" ht="26.25" hidden="1" spans="2:7">
      <c r="B26" s="46" t="s">
        <v>76</v>
      </c>
      <c r="C26" s="47"/>
      <c r="D26" s="48"/>
      <c r="E26" s="49"/>
      <c r="F26" s="49"/>
      <c r="G26" s="49"/>
    </row>
    <row r="27" hidden="1" spans="2:7">
      <c r="B27" s="50" t="s">
        <v>77</v>
      </c>
      <c r="C27" s="47"/>
      <c r="D27" s="48"/>
      <c r="E27" s="49"/>
      <c r="F27" s="49"/>
      <c r="G27" s="49"/>
    </row>
    <row r="28" spans="2:4">
      <c r="B28" s="45"/>
      <c r="C28" s="45"/>
      <c r="D28" s="43"/>
    </row>
    <row r="29" spans="2:4">
      <c r="B29" s="44"/>
      <c r="C29" s="45"/>
      <c r="D29" s="43"/>
    </row>
    <row r="31" ht="26.25" spans="2:3">
      <c r="B31" s="51" t="s">
        <v>78</v>
      </c>
      <c r="C31" s="52"/>
    </row>
    <row r="33" spans="2:4">
      <c r="B33" s="53" t="s">
        <v>79</v>
      </c>
      <c r="C33" s="53">
        <f>SUM(C6,C11,C12,C14)</f>
        <v>476</v>
      </c>
      <c r="D33" s="53" t="s">
        <v>80</v>
      </c>
    </row>
    <row r="34" spans="2:4">
      <c r="B34" s="53" t="s">
        <v>81</v>
      </c>
      <c r="C34" s="53">
        <f>SUM(C7,C16,C17,C19)</f>
        <v>507</v>
      </c>
      <c r="D34" s="53" t="s">
        <v>82</v>
      </c>
    </row>
    <row r="35" spans="2:3">
      <c r="B35" s="53" t="s">
        <v>83</v>
      </c>
      <c r="C35" s="54">
        <f>(C33*C34)/(C6*C7)</f>
        <v>1.571171875</v>
      </c>
    </row>
    <row r="37" ht="26.25" spans="2:3">
      <c r="B37" s="55" t="s">
        <v>84</v>
      </c>
      <c r="C37" s="55" t="s">
        <v>85</v>
      </c>
    </row>
    <row r="38" ht="26.25" spans="2:3">
      <c r="B38" s="56" t="s">
        <v>86</v>
      </c>
      <c r="C38" s="57" t="str">
        <f>DEC2HEX(C33*2^16+C11)</f>
        <v>1DC000C</v>
      </c>
    </row>
    <row r="39" ht="26.25" spans="2:3">
      <c r="B39" s="56" t="s">
        <v>87</v>
      </c>
      <c r="C39" s="58" t="str">
        <f>DEC2HEX(C34*C33)</f>
        <v>3AEB4</v>
      </c>
    </row>
    <row r="40" ht="26.25" spans="2:3">
      <c r="B40" s="56" t="s">
        <v>88</v>
      </c>
      <c r="C40" s="58" t="str">
        <f>DEC2HEX(C16*C33)</f>
        <v>3B8</v>
      </c>
    </row>
    <row r="41" ht="26.25" spans="2:3">
      <c r="B41" s="56" t="s">
        <v>89</v>
      </c>
      <c r="C41" s="58" t="str">
        <f>DEC2HEX((C33-C14-1)*2^16+C13)</f>
        <v>1930054</v>
      </c>
    </row>
    <row r="42" ht="26.25" spans="2:3">
      <c r="B42" s="56" t="s">
        <v>90</v>
      </c>
      <c r="C42" s="58" t="str">
        <f>DEC2HEX(C18*C33)</f>
        <v>2178</v>
      </c>
    </row>
    <row r="43" ht="26.25" spans="2:3">
      <c r="B43" s="56" t="s">
        <v>91</v>
      </c>
      <c r="C43" s="58" t="str">
        <f>DEC2HEX((C34-C19)*C33-1)</f>
        <v>39DF7</v>
      </c>
    </row>
    <row r="44" ht="26.25" spans="2:4">
      <c r="B44" s="56" t="s">
        <v>92</v>
      </c>
      <c r="C44" s="58">
        <f>IF(C6&gt;C8,DEC2HEX(1*2^31+(C13+INT((C6-C8)/2)+C8-1)*2^16+C13+INT((C6-C8)/2)),0)</f>
        <v>0</v>
      </c>
      <c r="D44" s="59" t="s">
        <v>93</v>
      </c>
    </row>
    <row r="45" ht="26.25" spans="2:4">
      <c r="B45" s="56" t="s">
        <v>94</v>
      </c>
      <c r="C45" s="58">
        <f>IF(C7&gt;C9,DEC2HEX(1*2^31+(C18+INT((C7-C9)/2))*C33),0)</f>
        <v>0</v>
      </c>
      <c r="D45" s="59"/>
    </row>
    <row r="46" ht="26.25" spans="2:4">
      <c r="B46" s="56" t="s">
        <v>95</v>
      </c>
      <c r="C46" s="58">
        <f>IF(C7&gt;C9,DEC2HEX((C18+INT((C7-C9)/2)+C9)*C33-1),0)</f>
        <v>0</v>
      </c>
      <c r="D46" s="59"/>
    </row>
    <row r="48" ht="26.25" spans="2:2">
      <c r="B48" s="51" t="s">
        <v>96</v>
      </c>
    </row>
    <row r="49" spans="2:3">
      <c r="B49" s="53"/>
      <c r="C49" s="53" t="s">
        <v>97</v>
      </c>
    </row>
    <row r="50" spans="2:3">
      <c r="B50" s="53" t="s">
        <v>98</v>
      </c>
      <c r="C50" s="60">
        <v>0</v>
      </c>
    </row>
    <row r="51" spans="2:3">
      <c r="B51" s="53" t="s">
        <v>99</v>
      </c>
      <c r="C51" s="60">
        <f>C11</f>
        <v>12</v>
      </c>
    </row>
    <row r="52" spans="2:3">
      <c r="B52" s="53" t="s">
        <v>100</v>
      </c>
      <c r="C52" s="60">
        <v>0</v>
      </c>
    </row>
    <row r="53" spans="2:3">
      <c r="B53" s="53" t="s">
        <v>101</v>
      </c>
      <c r="C53" s="60">
        <v>0</v>
      </c>
    </row>
    <row r="54" spans="2:3">
      <c r="B54" s="53" t="s">
        <v>102</v>
      </c>
      <c r="C54" s="60">
        <v>0</v>
      </c>
    </row>
    <row r="55" spans="2:3">
      <c r="B55" s="53" t="s">
        <v>103</v>
      </c>
      <c r="C55" s="60">
        <f>C16</f>
        <v>2</v>
      </c>
    </row>
    <row r="56" spans="2:3">
      <c r="B56" s="53" t="s">
        <v>104</v>
      </c>
      <c r="C56" s="60">
        <f>C8+C11+C12+C14-1</f>
        <v>475</v>
      </c>
    </row>
    <row r="57" spans="2:3">
      <c r="B57" s="53" t="s">
        <v>105</v>
      </c>
      <c r="C57" s="60">
        <f>C16+C17+C19+C9-1</f>
        <v>506</v>
      </c>
    </row>
    <row r="58" spans="2:3">
      <c r="B58" s="53" t="s">
        <v>106</v>
      </c>
      <c r="C58" s="60">
        <f>C11+C12</f>
        <v>84</v>
      </c>
    </row>
    <row r="59" spans="2:3">
      <c r="B59" s="53" t="s">
        <v>107</v>
      </c>
      <c r="C59" s="60">
        <f>C11+C12+C8</f>
        <v>404</v>
      </c>
    </row>
    <row r="60" spans="2:3">
      <c r="B60" s="53" t="s">
        <v>108</v>
      </c>
      <c r="C60" s="60">
        <f>C16+C17</f>
        <v>18</v>
      </c>
    </row>
    <row r="61" spans="2:3">
      <c r="B61" s="53" t="s">
        <v>109</v>
      </c>
      <c r="C61" s="60">
        <f>C9+C16+C17</f>
        <v>498</v>
      </c>
    </row>
    <row r="62" spans="2:3">
      <c r="B62" s="53"/>
      <c r="C62" s="60"/>
    </row>
    <row r="63" ht="26.25" spans="2:3">
      <c r="B63" s="55" t="s">
        <v>84</v>
      </c>
      <c r="C63" s="55" t="s">
        <v>85</v>
      </c>
    </row>
    <row r="64" ht="26.25" spans="2:3">
      <c r="B64" s="56" t="s">
        <v>110</v>
      </c>
      <c r="C64" s="58" t="str">
        <f>DEC2HEX(C59*2^16+C58)</f>
        <v>1940054</v>
      </c>
    </row>
    <row r="65" ht="26.25" spans="2:3">
      <c r="B65" s="56" t="s">
        <v>111</v>
      </c>
      <c r="C65" s="58" t="str">
        <f>DEC2HEX(C61*2^16+C60)</f>
        <v>1F20012</v>
      </c>
    </row>
    <row r="66" ht="26.25" spans="2:3">
      <c r="B66" s="56" t="s">
        <v>112</v>
      </c>
      <c r="C66" s="58" t="str">
        <f>DEC2HEX(C57*2^16+C56)</f>
        <v>1FA01DB</v>
      </c>
    </row>
    <row r="67" ht="26.25" spans="2:3">
      <c r="B67" s="56" t="s">
        <v>113</v>
      </c>
      <c r="C67" s="58" t="str">
        <f>DEC2HEX(C51*2^16+C50)</f>
        <v>C0000</v>
      </c>
    </row>
    <row r="68" ht="26.25" spans="2:3">
      <c r="B68" s="56" t="s">
        <v>114</v>
      </c>
      <c r="C68" s="58" t="str">
        <f>DEC2HEX(C53*2^16+C52)</f>
        <v>0</v>
      </c>
    </row>
    <row r="69" ht="26.25" spans="2:3">
      <c r="B69" s="56" t="s">
        <v>115</v>
      </c>
      <c r="C69" s="58" t="str">
        <f>DEC2HEX(C55*2^16+C54)</f>
        <v>20000</v>
      </c>
    </row>
    <row r="70" spans="3:3">
      <c r="C70" s="64"/>
    </row>
    <row r="71" ht="26.25" spans="2:3">
      <c r="B71" s="56" t="str">
        <f>'DSI PHY timing setting'!A42</f>
        <v>DSI_CLKOUT_TIMING_CTRL</v>
      </c>
      <c r="C71" s="58" t="str">
        <f>'[1]DSI PHY timing setting'!B42</f>
        <v>70D</v>
      </c>
    </row>
    <row r="72" ht="26.25" spans="2:3">
      <c r="B72" s="56"/>
      <c r="C72" s="58"/>
    </row>
    <row r="73" ht="26.25" spans="2:3">
      <c r="B73" s="56"/>
      <c r="C73" s="58"/>
    </row>
    <row r="74" ht="26.25" spans="2:3">
      <c r="B74" s="51" t="s">
        <v>116</v>
      </c>
      <c r="C74" s="58"/>
    </row>
    <row r="75" ht="26.25" spans="2:3">
      <c r="B75" s="65" t="str">
        <f>'[1]DSI PHY timing setting'!A28</f>
        <v>PHY Registers (address)</v>
      </c>
      <c r="C75" s="65" t="str">
        <f>'[1]DSI PHY timing setting'!B28</f>
        <v>value in hex</v>
      </c>
    </row>
    <row r="76" ht="26.25" spans="2:3">
      <c r="B76" s="65" t="str">
        <f>'DSI PHY timing setting'!A29</f>
        <v>DSIPHY_TIMING_CTRL_0</v>
      </c>
      <c r="C76" s="65" t="e">
        <f>'DSI PHY timing setting'!B29</f>
        <v>#VALUE!</v>
      </c>
    </row>
    <row r="77" ht="26.25" spans="2:3">
      <c r="B77" s="65" t="str">
        <f>'DSI PHY timing setting'!A30</f>
        <v>DSIPHY_TIMING_CTRL_1</v>
      </c>
      <c r="C77" s="65" t="str">
        <f>'DSI PHY timing setting'!B30</f>
        <v>10</v>
      </c>
    </row>
    <row r="78" ht="26.25" spans="2:3">
      <c r="B78" s="65" t="str">
        <f>'DSI PHY timing setting'!A31</f>
        <v>DSIPHY_TIMING_CTRL_2</v>
      </c>
      <c r="C78" s="65" t="str">
        <f>'DSI PHY timing setting'!B31</f>
        <v>6</v>
      </c>
    </row>
    <row r="79" ht="26.25" spans="2:3">
      <c r="B79" s="65" t="str">
        <f>'DSI PHY timing setting'!A32</f>
        <v>DSIPHY_TIMING_CTRL_3 </v>
      </c>
      <c r="C79" s="66">
        <f>'DSI PHY timing setting'!B32</f>
        <v>0</v>
      </c>
    </row>
    <row r="80" ht="26.25" spans="2:3">
      <c r="B80" s="65" t="str">
        <f>'DSI PHY timing setting'!A33</f>
        <v>DSIPHY_TIMING_CTRL_4</v>
      </c>
      <c r="C80" s="65" t="str">
        <f>'DSI PHY timing setting'!B33</f>
        <v>28</v>
      </c>
    </row>
    <row r="81" ht="26.25" spans="2:3">
      <c r="B81" s="65" t="str">
        <f>'DSI PHY timing setting'!A34</f>
        <v>DSIPHY_TIMING_CTRL_5</v>
      </c>
      <c r="C81" s="65" t="str">
        <f>'DSI PHY timing setting'!B34</f>
        <v>2C</v>
      </c>
    </row>
    <row r="82" ht="26.25" spans="2:3">
      <c r="B82" s="65" t="str">
        <f>'DSI PHY timing setting'!A35</f>
        <v>DSIPHY_TIMING_CTRL_6</v>
      </c>
      <c r="C82" s="65" t="str">
        <f>'DSI PHY timing setting'!B35</f>
        <v>A</v>
      </c>
    </row>
    <row r="83" ht="26.25" spans="2:3">
      <c r="B83" s="65" t="str">
        <f>'DSI PHY timing setting'!A36</f>
        <v>DSIPHY_TIMING_CTRL_7</v>
      </c>
      <c r="C83" s="65" t="str">
        <f>'DSI PHY timing setting'!B36</f>
        <v>12</v>
      </c>
    </row>
    <row r="84" ht="26.25" spans="2:3">
      <c r="B84" s="65" t="str">
        <f>'DSI PHY timing setting'!A37</f>
        <v>DSIPHY_TIMING_CTRL_8</v>
      </c>
      <c r="C84" s="65" t="str">
        <f>'DSI PHY timing setting'!B37</f>
        <v>9</v>
      </c>
    </row>
    <row r="85" ht="26.25" spans="2:3">
      <c r="B85" s="65" t="str">
        <f>'DSI PHY timing setting'!A38</f>
        <v>DSIPHY_TIMING_CTRL_9</v>
      </c>
      <c r="C85" s="65" t="str">
        <f>'DSI PHY timing setting'!B38</f>
        <v>3</v>
      </c>
    </row>
    <row r="86" ht="26.25" spans="2:3">
      <c r="B86" s="65" t="str">
        <f>'DSI PHY timing setting'!A39</f>
        <v>DSIPHY_TIMING_CTRL_10</v>
      </c>
      <c r="C86" s="65" t="str">
        <f>'DSI PHY timing setting'!B39</f>
        <v>4</v>
      </c>
    </row>
    <row r="87" ht="26.25" spans="2:3">
      <c r="B87" s="56"/>
      <c r="C87" s="58"/>
    </row>
    <row r="89" ht="26.25" spans="2:3">
      <c r="B89" s="67" t="s">
        <v>117</v>
      </c>
      <c r="C89" s="56"/>
    </row>
    <row r="90" spans="2:4">
      <c r="B90" s="37" t="s">
        <v>118</v>
      </c>
      <c r="C90" s="68">
        <f>C33*C34*C2*C4*8*0.000001/C3</f>
        <v>173.75904</v>
      </c>
      <c r="D90" s="37" t="s">
        <v>74</v>
      </c>
    </row>
    <row r="91" spans="2:4">
      <c r="B91" s="37" t="s">
        <v>119</v>
      </c>
      <c r="C91" s="68">
        <f>C90/8</f>
        <v>21.71988</v>
      </c>
      <c r="D91" s="37" t="s">
        <v>74</v>
      </c>
    </row>
    <row r="92" hidden="1" spans="2:6">
      <c r="B92" s="37" t="s">
        <v>120</v>
      </c>
      <c r="C92" s="68">
        <f>C91*C3</f>
        <v>43.43976</v>
      </c>
      <c r="D92" s="37" t="s">
        <v>74</v>
      </c>
      <c r="E92" s="69"/>
      <c r="F92" s="69"/>
    </row>
    <row r="93" spans="2:4">
      <c r="B93" s="37" t="s">
        <v>121</v>
      </c>
      <c r="C93" s="68">
        <f>C92/C4</f>
        <v>14.47992</v>
      </c>
      <c r="D93" s="37" t="s">
        <v>74</v>
      </c>
    </row>
    <row r="94" spans="3:3">
      <c r="C94" s="68"/>
    </row>
    <row r="95" spans="3:3">
      <c r="C95" s="70"/>
    </row>
    <row r="96" ht="26.25" spans="2:4">
      <c r="B96" s="71" t="s">
        <v>122</v>
      </c>
      <c r="C96" s="53"/>
      <c r="D96" s="53"/>
    </row>
    <row r="97" spans="2:4">
      <c r="B97" s="53" t="s">
        <v>123</v>
      </c>
      <c r="C97" s="53">
        <f>(C35-1)*100</f>
        <v>57.1171875</v>
      </c>
      <c r="D97" s="53" t="s">
        <v>124</v>
      </c>
    </row>
    <row r="98" spans="2:4">
      <c r="B98" s="53" t="s">
        <v>125</v>
      </c>
      <c r="C98" s="54">
        <f>C33/C93</f>
        <v>32.8731097961867</v>
      </c>
      <c r="D98" s="53" t="s">
        <v>126</v>
      </c>
    </row>
    <row r="99" spans="2:4">
      <c r="B99" s="53" t="s">
        <v>127</v>
      </c>
      <c r="C99" s="54">
        <f>C13/C93</f>
        <v>5.80113702285648</v>
      </c>
      <c r="D99" s="53" t="s">
        <v>126</v>
      </c>
    </row>
    <row r="100" spans="2:4">
      <c r="B100" s="53" t="s">
        <v>128</v>
      </c>
      <c r="C100" s="54">
        <f>C6/C93</f>
        <v>22.0995696108818</v>
      </c>
      <c r="D100" s="53" t="s">
        <v>126</v>
      </c>
    </row>
    <row r="101" spans="2:4">
      <c r="B101" s="53" t="s">
        <v>129</v>
      </c>
      <c r="C101" s="54">
        <f>C14/C93</f>
        <v>4.97240316244841</v>
      </c>
      <c r="D101" s="53" t="s">
        <v>126</v>
      </c>
    </row>
  </sheetData>
  <mergeCells count="1">
    <mergeCell ref="D44:D46"/>
  </mergeCells>
  <pageMargins left="0.25" right="0.25" top="0.5" bottom="0.65" header="0.3" footer="0.3"/>
  <pageSetup paperSize="1" scale="19" fitToHeight="0" orientation="portrait"/>
  <headerFooter scaleWithDoc="0">
    <oddHeader>&amp;L&amp;"Arial,Italic"&amp;9 DSI Timing Parameters User Interactive Spreadsheet&amp;R&amp;"Arial,Italic"&amp;9&amp;A</oddHeader>
    <oddFooter>&amp;L&amp;8 80-NH713-1 Rev. D
&amp;C&amp;8 &amp;P
&amp;"Arial,Bold" MAY CONTAIN U.S. AND INTERNATIONAL EXPORT CONTROLLED INFORMATION&amp;R&amp;8 Confidential and Proprietary - Qualcomm Technologies, Inc.
</oddFooter>
  </headerFooter>
  <rowBreaks count="1" manualBreakCount="1">
    <brk id="47" max="16383"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pageSetUpPr fitToPage="1"/>
  </sheetPr>
  <dimension ref="A1:I51"/>
  <sheetViews>
    <sheetView showGridLines="0" view="pageBreakPreview" zoomScaleNormal="85" zoomScaleSheetLayoutView="100" workbookViewId="0">
      <selection activeCell="A43" sqref="A43"/>
    </sheetView>
  </sheetViews>
  <sheetFormatPr defaultColWidth="9.14285714285714" defaultRowHeight="12.75"/>
  <cols>
    <col min="1" max="1" width="44" customWidth="1"/>
    <col min="2" max="2" width="16" customWidth="1"/>
    <col min="3" max="3" width="19.2857142857143" customWidth="1"/>
    <col min="4" max="4" width="11.5714285714286" customWidth="1"/>
    <col min="5" max="6" width="12.1428571428571" customWidth="1"/>
    <col min="7" max="7" width="24.7142857142857" customWidth="1"/>
    <col min="8" max="8" width="16" customWidth="1"/>
    <col min="10" max="10" width="14.2857142857143" customWidth="1"/>
  </cols>
  <sheetData>
    <row r="1" ht="18" spans="1:1">
      <c r="A1" s="2" t="s">
        <v>130</v>
      </c>
    </row>
    <row r="2" ht="18" spans="1:7">
      <c r="A2" s="3" t="s">
        <v>131</v>
      </c>
      <c r="B2" s="4"/>
      <c r="G2" s="5"/>
    </row>
    <row r="3" spans="1:3">
      <c r="A3" s="6" t="s">
        <v>132</v>
      </c>
      <c r="B3" s="7">
        <f>ROUNDDOWN('DSI and MDP registers'!C90,0)</f>
        <v>173</v>
      </c>
      <c r="C3" t="s">
        <v>133</v>
      </c>
    </row>
    <row r="4" spans="1:7">
      <c r="A4" s="6" t="s">
        <v>134</v>
      </c>
      <c r="B4" s="8">
        <f>'DSI and MDP registers'!C21/'DSI and MDP registers'!C22</f>
        <v>19.2</v>
      </c>
      <c r="C4" t="s">
        <v>74</v>
      </c>
      <c r="E4" s="9" t="s">
        <v>135</v>
      </c>
      <c r="F4" s="10"/>
      <c r="G4" s="11" t="str">
        <f>IF(MOD(($F$16+$G$10+$F$11),8)=0,"VALID","INVALID")</f>
        <v>INVALID</v>
      </c>
    </row>
    <row r="5" spans="1:3">
      <c r="A5" s="6" t="s">
        <v>136</v>
      </c>
      <c r="B5" s="12">
        <f>10^3/B3</f>
        <v>5.78034682080925</v>
      </c>
      <c r="C5" t="s">
        <v>137</v>
      </c>
    </row>
    <row r="6" spans="1:3">
      <c r="A6" s="6" t="s">
        <v>138</v>
      </c>
      <c r="B6" s="13">
        <f>10^3/B4</f>
        <v>52.0833333333333</v>
      </c>
      <c r="C6" t="s">
        <v>137</v>
      </c>
    </row>
    <row r="7" spans="1:3">
      <c r="A7" s="6" t="s">
        <v>139</v>
      </c>
      <c r="B7" s="10">
        <v>20</v>
      </c>
      <c r="C7" t="s">
        <v>137</v>
      </c>
    </row>
    <row r="8" spans="1:9">
      <c r="A8" s="14"/>
      <c r="B8" s="15" t="s">
        <v>140</v>
      </c>
      <c r="C8" s="16"/>
      <c r="D8" s="17" t="s">
        <v>141</v>
      </c>
      <c r="E8" s="17"/>
      <c r="F8" s="17"/>
      <c r="G8" s="18" t="s">
        <v>142</v>
      </c>
      <c r="H8" s="18" t="s">
        <v>143</v>
      </c>
      <c r="I8" s="29"/>
    </row>
    <row r="9" s="1" customFormat="1" spans="1:9">
      <c r="A9" s="19"/>
      <c r="B9" s="20" t="s">
        <v>144</v>
      </c>
      <c r="C9" s="21" t="s">
        <v>145</v>
      </c>
      <c r="D9" s="17" t="s">
        <v>146</v>
      </c>
      <c r="E9" s="17" t="s">
        <v>147</v>
      </c>
      <c r="F9" s="22"/>
      <c r="G9" s="18" t="s">
        <v>148</v>
      </c>
      <c r="H9" s="23"/>
      <c r="I9" s="29"/>
    </row>
    <row r="10" spans="1:8">
      <c r="A10" s="19" t="s">
        <v>149</v>
      </c>
      <c r="B10" s="24">
        <v>38</v>
      </c>
      <c r="C10" s="11">
        <v>95</v>
      </c>
      <c r="D10" s="13">
        <f>ROUNDUP(B10/$B$5,0)-2</f>
        <v>5</v>
      </c>
      <c r="E10" s="13">
        <f>ROUNDUP(C10/$B$5,0)-2</f>
        <v>15</v>
      </c>
      <c r="F10" s="13">
        <f>IF(MOD(ROUNDUP((E10-D10)*($F$48/100)+D10,0),2)=0,ROUNDUP((E10-D10)*($F$48/100)+D10,0),ROUNDUP((E10-D10)*($F$48/100)+D10,0)-1)</f>
        <v>6</v>
      </c>
      <c r="G10" s="25">
        <f>F10</f>
        <v>6</v>
      </c>
      <c r="H10" s="26">
        <f>(QUOTIENT(G10,2)+1)*2*$B$5</f>
        <v>46.242774566474</v>
      </c>
    </row>
    <row r="11" spans="1:8">
      <c r="A11" s="19" t="s">
        <v>150</v>
      </c>
      <c r="B11" s="24">
        <f>300-H10</f>
        <v>253.757225433526</v>
      </c>
      <c r="C11" s="11"/>
      <c r="D11" s="13">
        <f>ROUNDUP(B11/$B$5,0)-2</f>
        <v>42</v>
      </c>
      <c r="E11" s="13">
        <f>IF(D11&gt;255,511,255)</f>
        <v>255</v>
      </c>
      <c r="F11" s="13">
        <v>123</v>
      </c>
      <c r="G11" s="25" t="str">
        <f>IF(MOD(($F$16+$G$10+$F$11),8)=0,$F$11,"INVALID")</f>
        <v>INVALID</v>
      </c>
      <c r="H11" s="26" t="e">
        <f>(QUOTIENT(G11,2)+1)*2*$B$5</f>
        <v>#VALUE!</v>
      </c>
    </row>
    <row r="12" spans="1:8">
      <c r="A12" s="19" t="s">
        <v>151</v>
      </c>
      <c r="B12" s="24">
        <v>60</v>
      </c>
      <c r="C12" s="11">
        <f>C22-$B$7</f>
        <v>154.364161849711</v>
      </c>
      <c r="D12" s="13">
        <f>ROUNDUP(B12/$B$5,0)-2</f>
        <v>9</v>
      </c>
      <c r="E12" s="13">
        <f>ROUNDUP(C12/$B$5,0)-2</f>
        <v>25</v>
      </c>
      <c r="F12" s="13">
        <f>IF(MOD(ROUNDUP((E12-D12)*($F$51/100)+D12,0),2)=0,ROUNDUP((E12-D12)*($F$51/100)+D12,0),ROUNDUP((E12-D12)*($F$51/100)+D12,0)-1)</f>
        <v>16</v>
      </c>
      <c r="G12" s="25">
        <f t="shared" ref="G12:G17" si="0">IF(F12&lt;0,0,F12)</f>
        <v>16</v>
      </c>
      <c r="H12" s="26">
        <f t="shared" ref="H12:H17" si="1">(QUOTIENT(G12,2)+1)*2*$B$5</f>
        <v>104.046242774566</v>
      </c>
    </row>
    <row r="13" spans="1:9">
      <c r="A13" s="19" t="s">
        <v>152</v>
      </c>
      <c r="B13" s="24">
        <f>40+4*B5</f>
        <v>63.121387283237</v>
      </c>
      <c r="C13" s="11">
        <f>85+6*B5</f>
        <v>119.682080924855</v>
      </c>
      <c r="D13" s="13">
        <f>ROUNDUP(B13/$B$5,0)-2</f>
        <v>9</v>
      </c>
      <c r="E13" s="13">
        <f>ROUNDUP(C13/$B$5,0)-2</f>
        <v>19</v>
      </c>
      <c r="F13" s="13">
        <f>IF(MOD(ROUNDUP((E13-D13)*($F$49/100)+D13,0),2)=0,ROUNDUP((E13-D13)*($F$49/100)+D13,0),ROUNDUP((E13-D13)*($F$49/100)+D13,0)-1)</f>
        <v>10</v>
      </c>
      <c r="G13" s="25">
        <f>IF(F13&lt;0,0,F13)</f>
        <v>10</v>
      </c>
      <c r="H13" s="26">
        <f>(QUOTIENT(G13,2)+1)*2*$B$5+2*$B$5</f>
        <v>80.9248554913295</v>
      </c>
      <c r="I13" s="36"/>
    </row>
    <row r="14" spans="1:9">
      <c r="A14" s="19" t="s">
        <v>153</v>
      </c>
      <c r="B14" s="24">
        <f>145+10*B5-H13</f>
        <v>121.878612716763</v>
      </c>
      <c r="C14" s="11"/>
      <c r="D14" s="13">
        <f>ROUNDUP(B14/$B$5,0)-2</f>
        <v>20</v>
      </c>
      <c r="E14" s="13">
        <v>255</v>
      </c>
      <c r="F14" s="13">
        <f>IF(MOD(ROUNDUP((E14-D14)*($F$50/100)+D14,0),2)=0,ROUNDUP((E14-D14)*($F$50/100)+D14,0),ROUNDUP((E14-D14)*($F$50/100)+D14,0)-1)</f>
        <v>44</v>
      </c>
      <c r="G14" s="25">
        <f>IF(F14&lt;24,24,F14)</f>
        <v>44</v>
      </c>
      <c r="H14" s="26">
        <f>(QUOTIENT(G14,2)+1)*2*$B$5</f>
        <v>265.895953757225</v>
      </c>
      <c r="I14" s="36"/>
    </row>
    <row r="15" spans="1:9">
      <c r="A15" s="19" t="s">
        <v>154</v>
      </c>
      <c r="B15" s="24">
        <f>60+4*B5</f>
        <v>83.121387283237</v>
      </c>
      <c r="C15" s="11">
        <f>C21-$B$7</f>
        <v>154.364161849711</v>
      </c>
      <c r="D15" s="13">
        <f>ROUNDUP(B15/$B$5,0)-2</f>
        <v>13</v>
      </c>
      <c r="E15" s="13">
        <f>ROUNDUP(C15/$B$5,0)-2</f>
        <v>25</v>
      </c>
      <c r="F15" s="13">
        <f>IF(MOD(ROUNDUP((E15-D15)*($F$51/100)+D15,0),2)=0,ROUNDUP((E15-D15)*($F$51/100)+D15,0),ROUNDUP((E15-D15)*($F$51/100)+D15,0)-1)</f>
        <v>18</v>
      </c>
      <c r="G15" s="25">
        <f t="shared" ref="G15:G17" si="2">IF(F15&lt;0,0,F15)</f>
        <v>18</v>
      </c>
      <c r="H15" s="26">
        <f>(QUOTIENT(G15,2)+1)*2*$B$5</f>
        <v>115.606936416185</v>
      </c>
      <c r="I15" s="36"/>
    </row>
    <row r="16" spans="1:9">
      <c r="A16" s="19" t="s">
        <v>155</v>
      </c>
      <c r="B16" s="24"/>
      <c r="C16" s="11"/>
      <c r="D16" s="13"/>
      <c r="E16" s="13"/>
      <c r="F16" s="13">
        <f>IF(MOD(ROUNDDOWN($B$6/$B$5,0),2)=0,ROUNDDOWN($B$6/$B$5,0)-2,ROUNDDOWN($B$6/$B$5,0))</f>
        <v>9</v>
      </c>
      <c r="G16" s="25">
        <f>IF(F16&lt;0,0,F16)</f>
        <v>9</v>
      </c>
      <c r="H16" s="26">
        <f>(QUOTIENT(G16,2)+1)*2*$B$5</f>
        <v>57.8034682080925</v>
      </c>
      <c r="I16" s="36"/>
    </row>
    <row r="17" spans="1:8">
      <c r="A17" s="19" t="s">
        <v>156</v>
      </c>
      <c r="B17" s="24">
        <v>100</v>
      </c>
      <c r="C17" s="11"/>
      <c r="D17" s="13">
        <f>ROUNDUP(B17/$B$5,0)-2</f>
        <v>16</v>
      </c>
      <c r="E17" s="13">
        <v>255</v>
      </c>
      <c r="F17" s="13">
        <f>IF(MOD(ROUNDUP((E17-D17)*($F$50/100)+D17,0),2)=0,ROUNDUP((E17-D17)*($F$50/100)+D17,0),ROUNDUP((E17-D17)*($F$50/100)+D17,0)-1)</f>
        <v>40</v>
      </c>
      <c r="G17" s="25">
        <f>IF(F17&lt;0,0,F17)</f>
        <v>40</v>
      </c>
      <c r="H17" s="26">
        <f>(QUOTIENT(G17,2)+1)*2*$B$5</f>
        <v>242.774566473988</v>
      </c>
    </row>
    <row r="18" spans="1:8">
      <c r="A18" s="19" t="s">
        <v>157</v>
      </c>
      <c r="B18" s="24">
        <f>4*B6</f>
        <v>208.333333333333</v>
      </c>
      <c r="C18" s="11">
        <f>4*B6</f>
        <v>208.333333333333</v>
      </c>
      <c r="D18" s="13"/>
      <c r="E18" s="13"/>
      <c r="F18" s="13">
        <f t="shared" ref="F18:F20" si="3">B18</f>
        <v>208.333333333333</v>
      </c>
      <c r="G18" s="25">
        <v>3</v>
      </c>
      <c r="H18" s="13">
        <f>(G18+1)*10^3/$B$4</f>
        <v>208.333333333333</v>
      </c>
    </row>
    <row r="19" spans="1:8">
      <c r="A19" s="19" t="s">
        <v>158</v>
      </c>
      <c r="B19" s="24">
        <f>B6</f>
        <v>52.0833333333333</v>
      </c>
      <c r="C19" s="11">
        <f>2*B6</f>
        <v>104.166666666667</v>
      </c>
      <c r="D19" s="13"/>
      <c r="E19" s="13"/>
      <c r="F19" s="13">
        <f>B19</f>
        <v>52.0833333333333</v>
      </c>
      <c r="G19" s="25">
        <v>0</v>
      </c>
      <c r="H19" s="13">
        <f>(G19+2)*10^3/$B$4</f>
        <v>104.166666666667</v>
      </c>
    </row>
    <row r="20" spans="1:8">
      <c r="A20" s="19" t="s">
        <v>159</v>
      </c>
      <c r="B20" s="24">
        <f>5*B6</f>
        <v>260.416666666667</v>
      </c>
      <c r="C20" s="11">
        <f>5*B6</f>
        <v>260.416666666667</v>
      </c>
      <c r="D20" s="13"/>
      <c r="E20" s="13"/>
      <c r="F20" s="13">
        <f>B20</f>
        <v>260.416666666667</v>
      </c>
      <c r="G20" s="25">
        <v>4</v>
      </c>
      <c r="H20" s="13">
        <f>(G20+1)*10^3/$B$4</f>
        <v>260.416666666667</v>
      </c>
    </row>
    <row r="21" spans="1:8">
      <c r="A21" s="19" t="s">
        <v>160</v>
      </c>
      <c r="B21" s="24"/>
      <c r="C21" s="11">
        <f>105+12*$B$5</f>
        <v>174.364161849711</v>
      </c>
      <c r="D21" s="13"/>
      <c r="E21" s="13"/>
      <c r="F21" s="13"/>
      <c r="G21" s="27"/>
      <c r="H21" s="13">
        <f>H15+$B$7/2</f>
        <v>125.606936416185</v>
      </c>
    </row>
    <row r="22" spans="1:8">
      <c r="A22" s="19" t="s">
        <v>161</v>
      </c>
      <c r="B22" s="24"/>
      <c r="C22" s="11">
        <f>105+12*$B$5</f>
        <v>174.364161849711</v>
      </c>
      <c r="D22" s="13"/>
      <c r="E22" s="13"/>
      <c r="F22" s="13"/>
      <c r="G22" s="27"/>
      <c r="H22" s="13">
        <f>H12+$B$7/2</f>
        <v>114.046242774566</v>
      </c>
    </row>
    <row r="23" spans="1:8">
      <c r="A23" s="19" t="s">
        <v>162</v>
      </c>
      <c r="B23" s="24">
        <f>60+52*B5</f>
        <v>360.578034682081</v>
      </c>
      <c r="C23" s="11"/>
      <c r="D23" s="13">
        <f>ROUNDUP((B23-24*B5-H17)/(8*B5),0)-1</f>
        <v>-2</v>
      </c>
      <c r="E23" s="13">
        <v>63</v>
      </c>
      <c r="F23" s="13">
        <f>ROUNDUP((E23-D23)*($F$50/100)+D23,0)</f>
        <v>5</v>
      </c>
      <c r="G23" s="25">
        <f>IF(F23&lt;0,0,F23)</f>
        <v>5</v>
      </c>
      <c r="H23" s="13">
        <f>(G23+1)*8*B5+H17+24*B5</f>
        <v>658.959537572254</v>
      </c>
    </row>
    <row r="24" spans="1:8">
      <c r="A24" s="19" t="s">
        <v>163</v>
      </c>
      <c r="B24" s="24">
        <f>8*B5</f>
        <v>46.242774566474</v>
      </c>
      <c r="C24" s="11"/>
      <c r="D24" s="13" t="e">
        <f>ROUNDUP((B24+$H$10+$H$11+$B$6)/(8*$B$5),0)-1</f>
        <v>#VALUE!</v>
      </c>
      <c r="E24" s="13">
        <v>63</v>
      </c>
      <c r="F24" s="13" t="e">
        <f>IF(D24&gt;63,ROUNDUP((E24*2-D24)*($F$50/100)+D24,0),ROUNDUP((E24-D24)*($F$50/100)+D24,0))</f>
        <v>#VALUE!</v>
      </c>
      <c r="G24" s="25" t="e">
        <f>IF(F24&lt;0,0,IF(D24&gt;E24,ROUNDDOWN(F24/2,0),F24))</f>
        <v>#VALUE!</v>
      </c>
      <c r="H24" s="13" t="e">
        <f>IF(D24&gt;E24,(G24+1)*16*B5-B6-H10-H11,(G24+1)*8*B5-B6-H10-H11)</f>
        <v>#VALUE!</v>
      </c>
    </row>
    <row r="25" spans="1:8">
      <c r="A25" s="19" t="s">
        <v>164</v>
      </c>
      <c r="B25" s="1"/>
      <c r="C25" s="1"/>
      <c r="D25" s="28"/>
      <c r="H25" s="13" t="e">
        <f>SUM(H10:H17)+SUM(H23:H24)+B6+8*B5</f>
        <v>#VALUE!</v>
      </c>
    </row>
    <row r="26" spans="1:7">
      <c r="A26" s="19"/>
      <c r="B26" s="29"/>
      <c r="C26" s="29"/>
      <c r="D26" s="1"/>
      <c r="E26" s="1"/>
      <c r="F26" s="28"/>
      <c r="G26" s="30"/>
    </row>
    <row r="27" ht="18" spans="1:1">
      <c r="A27" s="31" t="s">
        <v>165</v>
      </c>
    </row>
    <row r="28" spans="1:3">
      <c r="A28" s="19" t="s">
        <v>166</v>
      </c>
      <c r="B28" s="9" t="s">
        <v>167</v>
      </c>
      <c r="C28" s="1"/>
    </row>
    <row r="29" spans="1:3">
      <c r="A29" s="19" t="s">
        <v>168</v>
      </c>
      <c r="B29" s="10" t="e">
        <f>IF(F11&gt;255,DEC2HEX(G11-255),DEC2HEX(G11))</f>
        <v>#VALUE!</v>
      </c>
      <c r="C29" s="32"/>
    </row>
    <row r="30" spans="1:3">
      <c r="A30" s="19" t="s">
        <v>169</v>
      </c>
      <c r="B30" s="10" t="str">
        <f>DEC2HEX(G12)</f>
        <v>10</v>
      </c>
      <c r="C30" s="32"/>
    </row>
    <row r="31" spans="1:3">
      <c r="A31" s="19" t="s">
        <v>170</v>
      </c>
      <c r="B31" s="10" t="str">
        <f>DEC2HEX(G10)</f>
        <v>6</v>
      </c>
      <c r="C31" s="32"/>
    </row>
    <row r="32" spans="1:3">
      <c r="A32" s="19" t="s">
        <v>171</v>
      </c>
      <c r="B32" s="33">
        <f>IF(F11&gt;255,1,0)</f>
        <v>0</v>
      </c>
      <c r="C32" s="32"/>
    </row>
    <row r="33" spans="1:3">
      <c r="A33" s="19" t="s">
        <v>172</v>
      </c>
      <c r="B33" s="10" t="str">
        <f>DEC2HEX(G17)</f>
        <v>28</v>
      </c>
      <c r="C33" s="32"/>
    </row>
    <row r="34" spans="1:7">
      <c r="A34" s="19" t="s">
        <v>173</v>
      </c>
      <c r="B34" s="10" t="str">
        <f>DEC2HEX(G14)</f>
        <v>2C</v>
      </c>
      <c r="C34" s="32"/>
      <c r="G34" t="s">
        <v>174</v>
      </c>
    </row>
    <row r="35" spans="1:3">
      <c r="A35" s="19" t="s">
        <v>175</v>
      </c>
      <c r="B35" s="10" t="str">
        <f>DEC2HEX(G13)</f>
        <v>A</v>
      </c>
      <c r="C35" s="32"/>
    </row>
    <row r="36" spans="1:3">
      <c r="A36" s="19" t="s">
        <v>176</v>
      </c>
      <c r="B36" s="10" t="str">
        <f>DEC2HEX(G15)</f>
        <v>12</v>
      </c>
      <c r="C36" s="32"/>
    </row>
    <row r="37" spans="1:3">
      <c r="A37" s="19" t="s">
        <v>177</v>
      </c>
      <c r="B37" s="10" t="str">
        <f>DEC2HEX(G16)</f>
        <v>9</v>
      </c>
      <c r="C37" s="32"/>
    </row>
    <row r="38" spans="1:3">
      <c r="A38" s="19" t="s">
        <v>178</v>
      </c>
      <c r="B38" s="10" t="str">
        <f>DEC2HEX(G19*2^4+G18)</f>
        <v>3</v>
      </c>
      <c r="C38" s="32"/>
    </row>
    <row r="39" spans="1:3">
      <c r="A39" s="19" t="s">
        <v>179</v>
      </c>
      <c r="B39" s="10" t="str">
        <f>DEC2HEX(G20)</f>
        <v>4</v>
      </c>
      <c r="C39" s="32"/>
    </row>
    <row r="40" spans="1:3">
      <c r="A40" s="10"/>
      <c r="C40" s="32"/>
    </row>
    <row r="41" ht="18" spans="1:2">
      <c r="A41" s="34" t="s">
        <v>180</v>
      </c>
      <c r="B41" s="10"/>
    </row>
    <row r="42" spans="1:3">
      <c r="A42" s="19" t="s">
        <v>181</v>
      </c>
      <c r="B42" s="10" t="e">
        <f>DEC2HEX(G23*256+G24)</f>
        <v>#VALUE!</v>
      </c>
      <c r="C42" s="32"/>
    </row>
    <row r="43" spans="1:2">
      <c r="A43" s="19" t="s">
        <v>182</v>
      </c>
      <c r="B43" s="33" t="e">
        <f>IF(E24&lt;D24,1,0)</f>
        <v>#VALUE!</v>
      </c>
    </row>
    <row r="48" spans="5:6">
      <c r="E48" s="35" t="s">
        <v>183</v>
      </c>
      <c r="F48">
        <v>10</v>
      </c>
    </row>
    <row r="49" spans="5:6">
      <c r="E49" s="35" t="s">
        <v>184</v>
      </c>
      <c r="F49">
        <f>IF($B$3&gt;1200,15,10)</f>
        <v>10</v>
      </c>
    </row>
    <row r="50" spans="5:6">
      <c r="E50" s="35" t="s">
        <v>185</v>
      </c>
      <c r="F50">
        <v>10</v>
      </c>
    </row>
    <row r="51" spans="5:6">
      <c r="E51" s="35" t="s">
        <v>186</v>
      </c>
      <c r="F51">
        <f>IF($B$3&gt;180,10,40)</f>
        <v>40</v>
      </c>
    </row>
  </sheetData>
  <mergeCells count="3">
    <mergeCell ref="B8:C8"/>
    <mergeCell ref="D8:F8"/>
    <mergeCell ref="H8:H9"/>
  </mergeCells>
  <conditionalFormatting sqref="G10">
    <cfRule type="cellIs" dxfId="0" priority="1" stopIfTrue="1" operator="equal">
      <formula>IF(G4="INVALID",0)</formula>
    </cfRule>
  </conditionalFormatting>
  <conditionalFormatting sqref="G4">
    <cfRule type="cellIs" dxfId="1" priority="2" stopIfTrue="1" operator="equal">
      <formula>"VALID"</formula>
    </cfRule>
    <cfRule type="cellIs" dxfId="2" priority="3" stopIfTrue="1" operator="equal">
      <formula>"INVALID"</formula>
    </cfRule>
  </conditionalFormatting>
  <conditionalFormatting sqref="G11">
    <cfRule type="cellIs" dxfId="3" priority="4" stopIfTrue="1" operator="equal">
      <formula>"INVALID"</formula>
    </cfRule>
  </conditionalFormatting>
  <pageMargins left="0.25" right="0.25" top="0.5" bottom="0.65" header="0.3" footer="0.3"/>
  <pageSetup paperSize="1" scale="76" orientation="landscape"/>
  <headerFooter scaleWithDoc="0">
    <oddHeader>&amp;L&amp;"Arial,Italic"&amp;9 DSI Timing Parameters User Interactive Spreadsheet&amp;R&amp;"Arial,Italic"&amp;9&amp;A</oddHeader>
    <oddFooter>&amp;L&amp;8 80-NH713-1 Rev. D
&amp;C&amp;8 &amp;P
&amp;"Arial,Bold" MAY CONTAIN U.S. AND INTERNATIONAL EXPORT CONTROLLED INFORMATION&amp;R&amp;8 Confidential and Proprietary - Qualcomm Technologies, Inc.
</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EmailTo xmlns="http://schemas.microsoft.com/sharepoint/v3" xsi:nil="true"/>
    <EmailHeaders xmlns="http://schemas.microsoft.com/sharepoint/v4" xsi:nil="true"/>
    <EmailSender xmlns="http://schemas.microsoft.com/sharepoint/v3" xsi:nil="true"/>
    <EmailFrom xmlns="http://schemas.microsoft.com/sharepoint/v3" xsi:nil="true"/>
    <EmailSubject xmlns="http://schemas.microsoft.com/sharepoint/v3" xsi:nil="true"/>
    <EmailCc xmlns="http://schemas.microsoft.com/sharepoint/v3" xsi:nil="true"/>
    <_dlc_DocId xmlns="9878df2e-8830-4198-8547-d30413910f45">SDK3MQTHXQ3K-9-305</_dlc_DocId>
    <_dlc_DocIdUrl xmlns="9878df2e-8830-4198-8547-d30413910f45">
      <Url>http://projects/sites/QSERDES28/_layouts/DocIdRedir.aspx?ID=SDK3MQTHXQ3K-9-305</Url>
      <Description>SDK3MQTHXQ3K-9-305</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669EF95D1E2B4E865FD21AABAE9A1C" ma:contentTypeVersion="13" ma:contentTypeDescription="Create a new document." ma:contentTypeScope="" ma:versionID="696b5f70abee45f248455fd35dabc6e8">
  <xsd:schema xmlns:xsd="http://www.w3.org/2001/XMLSchema" xmlns:xs="http://www.w3.org/2001/XMLSchema" xmlns:p="http://schemas.microsoft.com/office/2006/metadata/properties" xmlns:ns1="http://schemas.microsoft.com/sharepoint/v3" xmlns:ns2="9878df2e-8830-4198-8547-d30413910f45" xmlns:ns3="http://schemas.microsoft.com/sharepoint/v4" targetNamespace="http://schemas.microsoft.com/office/2006/metadata/properties" ma:root="true" ma:fieldsID="08a587895fc2a523eb3b43ef19c0fdbe" ns1:_="" ns2:_="" ns3:_="">
    <xsd:import namespace="http://schemas.microsoft.com/sharepoint/v3"/>
    <xsd:import namespace="9878df2e-8830-4198-8547-d30413910f45"/>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_dlc_DocId" minOccurs="0"/>
                <xsd:element ref="ns2:_dlc_DocIdUrl" minOccurs="0"/>
                <xsd:element ref="ns2:_dlc_DocIdPersistId" minOccurs="0"/>
                <xsd:element ref="ns3:EmailHeaders" minOccurs="0"/>
                <xsd:element ref="ns1:_dlc_Exempt" minOccurs="0"/>
                <xsd:element ref="ns2:QBU"/>
                <xsd:element ref="ns2:QDEPT"/>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element name="_dlc_Exempt" ma:index="17"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878df2e-8830-4198-8547-d30413910f45" elementFormDefault="qualified">
    <xsd:import namespace="http://schemas.microsoft.com/office/2006/documentManagement/types"/>
    <xsd:import namespace="http://schemas.microsoft.com/office/infopath/2007/PartnerControls"/>
    <xsd:element name="_dlc_DocId" ma:index="13" nillable="true" ma:displayName="Document ID Value" ma:description="The value of the document ID assigned to this item." ma:internalName="_dlc_DocId" ma:readOnly="true">
      <xsd:simpleType>
        <xsd:restriction base="dms:Text"/>
      </xsd:simpleType>
    </xsd:element>
    <xsd:element name="_dlc_DocIdUrl" ma:index="1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5" nillable="true" ma:displayName="Persist ID" ma:description="Keep ID on add." ma:hidden="true" ma:internalName="_dlc_DocIdPersistId" ma:readOnly="true">
      <xsd:simpleType>
        <xsd:restriction base="dms:Boolean"/>
      </xsd:simpleType>
    </xsd:element>
    <xsd:element name="QBU" ma:index="18" ma:displayName="Qualcomm Business Unit" ma:default="QCT" ma:internalName="QBU" ma:readOnly="true">
      <xsd:simpleType>
        <xsd:restriction base="dms:Text"/>
      </xsd:simpleType>
    </xsd:element>
    <xsd:element name="QDEPT" ma:index="19" ma:displayName="Qualcomm Department" ma:default="QCT-PM" ma:internalName="QDEPT"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6" nillable="true" ma:displayName="E-Mail Headers" ma:hidden="true" ma:internalName="EmailHeader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p:Policy xmlns:p="office.server.policy" id="" local="true">
  <p:Name>Document</p:Name>
  <p:Description/>
  <p:Statement/>
  <p:PolicyItems>
    <p:PolicyItem featureId="QualcommTagPolicy" staticId="0x010100BC669EF95D1E2B4E865FD21AABAE9A1C" UniqueId="331e85ec-4809-49f9-b6be-7a474ed9c6fb">
      <p:Name>Qualcomm Tagging Policy</p:Name>
      <p:Description>Qualcomm Custom Policy for Tagging</p:Description>
      <p:CustomData/>
    </p:PolicyItem>
  </p:PolicyItems>
</p:Policy>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6C0DF2D6-B4AF-45CE-9F65-12B2E83F900D}">
  <ds:schemaRefs/>
</ds:datastoreItem>
</file>

<file path=customXml/itemProps2.xml><?xml version="1.0" encoding="utf-8"?>
<ds:datastoreItem xmlns:ds="http://schemas.openxmlformats.org/officeDocument/2006/customXml" ds:itemID="{DBA4608F-5200-43E6-B573-A76ABCEB750C}">
  <ds:schemaRefs/>
</ds:datastoreItem>
</file>

<file path=customXml/itemProps3.xml><?xml version="1.0" encoding="utf-8"?>
<ds:datastoreItem xmlns:ds="http://schemas.openxmlformats.org/officeDocument/2006/customXml" ds:itemID="{73950C47-3956-4E86-B05B-E4C12FF697C7}">
  <ds:schemaRefs/>
</ds:datastoreItem>
</file>

<file path=customXml/itemProps4.xml><?xml version="1.0" encoding="utf-8"?>
<ds:datastoreItem xmlns:ds="http://schemas.openxmlformats.org/officeDocument/2006/customXml" ds:itemID="{3D7C1EAB-9DA8-4679-9DA9-14CECE056963}">
  <ds:schemaRefs/>
</ds:datastoreItem>
</file>

<file path=customXml/itemProps5.xml><?xml version="1.0" encoding="utf-8"?>
<ds:datastoreItem xmlns:ds="http://schemas.openxmlformats.org/officeDocument/2006/customXml" ds:itemID="{5C484024-DC26-448B-AC77-CF0A784ABA38}">
  <ds:schemaRefs/>
</ds:datastoreItem>
</file>

<file path=docProps/app.xml><?xml version="1.0" encoding="utf-8"?>
<Properties xmlns="http://schemas.openxmlformats.org/officeDocument/2006/extended-properties" xmlns:vt="http://schemas.openxmlformats.org/officeDocument/2006/docPropsVTypes">
  <Company>Qualcomm Inc.</Company>
  <Application>Microsoft Excel</Application>
  <HeadingPairs>
    <vt:vector size="2" baseType="variant">
      <vt:variant>
        <vt:lpstr>工作表</vt:lpstr>
      </vt:variant>
      <vt:variant>
        <vt:i4>5</vt:i4>
      </vt:variant>
    </vt:vector>
  </HeadingPairs>
  <TitlesOfParts>
    <vt:vector size="5" baseType="lpstr">
      <vt:lpstr>QTI_Title_Page</vt:lpstr>
      <vt:lpstr>Rev. History</vt:lpstr>
      <vt:lpstr>User Instructions</vt:lpstr>
      <vt:lpstr>DSI and MDP registers</vt:lpstr>
      <vt:lpstr>DSI PHY timing setting</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dongenxue</cp:lastModifiedBy>
  <dcterms:created xsi:type="dcterms:W3CDTF">2009-08-29T21:51:00Z</dcterms:created>
  <cp:lastPrinted>2014-07-01T18:42:00Z</cp:lastPrinted>
  <dcterms:modified xsi:type="dcterms:W3CDTF">2015-05-29T01:20:46Z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-387610140</vt:i4>
  </property>
  <property fmtid="{D5CDD505-2E9C-101B-9397-08002B2CF9AE}" pid="3" name="_NewReviewCycle">
    <vt:lpwstr/>
  </property>
  <property fmtid="{D5CDD505-2E9C-101B-9397-08002B2CF9AE}" pid="4" name="_EmailSubject">
    <vt:lpwstr>[Question] DSI parameter to enter in 80-NH713-1</vt:lpwstr>
  </property>
  <property fmtid="{D5CDD505-2E9C-101B-9397-08002B2CF9AE}" pid="5" name="_AuthorEmail">
    <vt:lpwstr>kitfongn@qti.qualcomm.com</vt:lpwstr>
  </property>
  <property fmtid="{D5CDD505-2E9C-101B-9397-08002B2CF9AE}" pid="6" name="_AuthorEmailDisplayName">
    <vt:lpwstr>Ng, Kit</vt:lpwstr>
  </property>
  <property fmtid="{D5CDD505-2E9C-101B-9397-08002B2CF9AE}" pid="7" name="ContentTypeId">
    <vt:lpwstr>0x010100BC669EF95D1E2B4E865FD21AABAE9A1C</vt:lpwstr>
  </property>
  <property fmtid="{D5CDD505-2E9C-101B-9397-08002B2CF9AE}" pid="8" name="_dlc_DocIdItemGuid">
    <vt:lpwstr>a45c0a49-eb27-4ae7-8534-985d48b4ddba</vt:lpwstr>
  </property>
  <property fmtid="{D5CDD505-2E9C-101B-9397-08002B2CF9AE}" pid="9" name="_PreviousAdHocReviewCycleID">
    <vt:i4>894503896</vt:i4>
  </property>
  <property fmtid="{D5CDD505-2E9C-101B-9397-08002B2CF9AE}" pid="10" name="_ReviewingToolsShownOnce">
    <vt:lpwstr/>
  </property>
  <property fmtid="{D5CDD505-2E9C-101B-9397-08002B2CF9AE}" pid="11" name="KSOProductBuildVer">
    <vt:lpwstr>2052-9.1.0.5041</vt:lpwstr>
  </property>
</Properties>
</file>

<file path=userCustomization/customUI.xml><?xml version="1.0" encoding="utf-8"?>
<!--Revision history details in eRoom; -->
<customUI xmlns="http://schemas.microsoft.com/office/2009/07/customui">
  <ribbon>
    <tabs>
      <!-- Our tab -->
      <tab id="OurTab" label="DSI Timing Program" insertBeforeMso="TabHome">
        <!-- StartHereGroup -->
        <group id="Video" label="Video Parameters">
          <button id="VidParamBn" label="Check" imageMso="AcceptInvitation" description="Click to calulate video parameters based on entered values." onAction="Bttn_VidParamCheck" size="large"/>
        </group>
        <group id="clock" label="t_clk_zero">
          <button id="ResetBn" label="Reset" imageMso="InkDeleteAllInk" description="Click to reset t_clk_zero." onAction="Bttn_Reset" size="large"/>
          <button id="ValidateBn" label="Validate" imageMso="AcceptInvitation" description="Click to validate t_clk_zero." onAction="Bttn_Validate" size="large"/>
        </group>
      </tab>
    </tabs>
  </ribbon>
</customUI>
</file>